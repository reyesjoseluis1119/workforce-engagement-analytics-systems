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yden\OneDrive\Desktop\Data Analytics Projects\Workforce Engagement Analytics Systems\"/>
    </mc:Choice>
  </mc:AlternateContent>
  <xr:revisionPtr revIDLastSave="0" documentId="13_ncr:1_{1390CF84-327E-4030-B990-11437BC2A24A}" xr6:coauthVersionLast="47" xr6:coauthVersionMax="47" xr10:uidLastSave="{00000000-0000-0000-0000-000000000000}"/>
  <bookViews>
    <workbookView xWindow="28680" yWindow="-120" windowWidth="29040" windowHeight="15720" tabRatio="958" xr2:uid="{00000000-000D-0000-FFFF-FFFF00000000}"/>
  </bookViews>
  <sheets>
    <sheet name="Dashboard" sheetId="85" r:id="rId1"/>
    <sheet name="Teams" sheetId="59" r:id="rId2"/>
    <sheet name="Roster" sheetId="48" r:id="rId3"/>
    <sheet name="Week 1" sheetId="44" r:id="rId4"/>
    <sheet name="QA WK1" sheetId="74" r:id="rId5"/>
    <sheet name="ME0025 WK1" sheetId="46" r:id="rId6"/>
    <sheet name="Week 2" sheetId="81" r:id="rId7"/>
    <sheet name="QA WK2" sheetId="76" r:id="rId8"/>
    <sheet name="ME0025 WK2" sheetId="63" r:id="rId9"/>
    <sheet name="Week 3" sheetId="82" r:id="rId10"/>
    <sheet name="QA WK3" sheetId="77" r:id="rId11"/>
    <sheet name="ME0025 WK3" sheetId="66" r:id="rId12"/>
    <sheet name="Week 4" sheetId="83" r:id="rId13"/>
    <sheet name="QA WK4" sheetId="78" r:id="rId14"/>
    <sheet name="ME0025 WK4" sheetId="69" r:id="rId15"/>
    <sheet name="Week 5" sheetId="84" r:id="rId16"/>
    <sheet name="QA WK5" sheetId="79" r:id="rId17"/>
    <sheet name="ME0025 WK5" sheetId="72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44" l="1"/>
  <c r="E2" i="44" s="1"/>
  <c r="A3" i="44"/>
  <c r="B3" i="44" s="1"/>
  <c r="A4" i="44"/>
  <c r="B4" i="44" s="1"/>
  <c r="A5" i="44"/>
  <c r="B5" i="44" s="1"/>
  <c r="A6" i="44"/>
  <c r="B6" i="44" s="1"/>
  <c r="A7" i="44"/>
  <c r="C7" i="44" s="1"/>
  <c r="D7" i="44" s="1"/>
  <c r="A8" i="44"/>
  <c r="C8" i="44" s="1"/>
  <c r="D8" i="44" s="1"/>
  <c r="A9" i="44"/>
  <c r="C9" i="44" s="1"/>
  <c r="D9" i="44" s="1"/>
  <c r="A10" i="44"/>
  <c r="C10" i="44" s="1"/>
  <c r="D10" i="44" s="1"/>
  <c r="A11" i="44"/>
  <c r="B11" i="44" s="1"/>
  <c r="A12" i="44"/>
  <c r="B12" i="44" s="1"/>
  <c r="A13" i="44"/>
  <c r="B13" i="44" s="1"/>
  <c r="A14" i="44"/>
  <c r="E14" i="44" s="1"/>
  <c r="A15" i="44"/>
  <c r="B15" i="44" s="1"/>
  <c r="BC27" i="85"/>
  <c r="BC26" i="85"/>
  <c r="BC25" i="85"/>
  <c r="BC24" i="85"/>
  <c r="BC23" i="85"/>
  <c r="BC22" i="85"/>
  <c r="BC21" i="85"/>
  <c r="BC20" i="85"/>
  <c r="BC19" i="85"/>
  <c r="BC18" i="85"/>
  <c r="BC13" i="85"/>
  <c r="BC12" i="85"/>
  <c r="BC11" i="85"/>
  <c r="BC10" i="85"/>
  <c r="BC9" i="85"/>
  <c r="BC8" i="85"/>
  <c r="BC7" i="85"/>
  <c r="BC6" i="85"/>
  <c r="BC5" i="85"/>
  <c r="BC4" i="85"/>
  <c r="AT27" i="85"/>
  <c r="AT26" i="85"/>
  <c r="AT25" i="85"/>
  <c r="AT24" i="85"/>
  <c r="AT23" i="85"/>
  <c r="AT22" i="85"/>
  <c r="AT21" i="85"/>
  <c r="AT20" i="85"/>
  <c r="AT19" i="85"/>
  <c r="AT18" i="85"/>
  <c r="AT13" i="85"/>
  <c r="AT12" i="85"/>
  <c r="AT11" i="85"/>
  <c r="AT10" i="85"/>
  <c r="AT9" i="85"/>
  <c r="AT8" i="85"/>
  <c r="AT7" i="85"/>
  <c r="AT6" i="85"/>
  <c r="AT5" i="85"/>
  <c r="AT4" i="85"/>
  <c r="AK27" i="85"/>
  <c r="AK26" i="85"/>
  <c r="AK25" i="85"/>
  <c r="AK24" i="85"/>
  <c r="AK23" i="85"/>
  <c r="AK22" i="85"/>
  <c r="AK21" i="85"/>
  <c r="AK20" i="85"/>
  <c r="AK19" i="85"/>
  <c r="AK18" i="85"/>
  <c r="AK13" i="85"/>
  <c r="AK12" i="85"/>
  <c r="AK11" i="85"/>
  <c r="AK10" i="85"/>
  <c r="AK9" i="85"/>
  <c r="AK8" i="85"/>
  <c r="AK7" i="85"/>
  <c r="AK6" i="85"/>
  <c r="AK5" i="85"/>
  <c r="AK4" i="85"/>
  <c r="AB27" i="85"/>
  <c r="AB26" i="85"/>
  <c r="AB25" i="85"/>
  <c r="AB24" i="85"/>
  <c r="AB23" i="85"/>
  <c r="AB22" i="85"/>
  <c r="AB21" i="85"/>
  <c r="AB20" i="85"/>
  <c r="AB19" i="85"/>
  <c r="AB18" i="85"/>
  <c r="AB13" i="85"/>
  <c r="AB12" i="85"/>
  <c r="AB11" i="85"/>
  <c r="AB10" i="85"/>
  <c r="AB9" i="85"/>
  <c r="AB8" i="85"/>
  <c r="AB7" i="85"/>
  <c r="AB6" i="85"/>
  <c r="AB5" i="85"/>
  <c r="AB4" i="85"/>
  <c r="S19" i="85"/>
  <c r="S20" i="85"/>
  <c r="S21" i="85"/>
  <c r="S22" i="85"/>
  <c r="S23" i="85"/>
  <c r="S24" i="85"/>
  <c r="S25" i="85"/>
  <c r="S26" i="85"/>
  <c r="S27" i="85"/>
  <c r="S18" i="85"/>
  <c r="S5" i="85"/>
  <c r="S6" i="85"/>
  <c r="S7" i="85"/>
  <c r="S8" i="85"/>
  <c r="S9" i="85"/>
  <c r="S10" i="85"/>
  <c r="S11" i="85"/>
  <c r="S12" i="85"/>
  <c r="S13" i="85"/>
  <c r="S4" i="85"/>
  <c r="M22" i="85"/>
  <c r="G21" i="85"/>
  <c r="G22" i="85"/>
  <c r="F12" i="85"/>
  <c r="F13" i="85"/>
  <c r="F14" i="85"/>
  <c r="F15" i="85"/>
  <c r="F16" i="85"/>
  <c r="F17" i="85"/>
  <c r="F18" i="85"/>
  <c r="F19" i="85"/>
  <c r="F20" i="85"/>
  <c r="F21" i="85"/>
  <c r="F22" i="85"/>
  <c r="L12" i="85"/>
  <c r="L13" i="85"/>
  <c r="L14" i="85"/>
  <c r="L15" i="85"/>
  <c r="L16" i="85"/>
  <c r="L17" i="85"/>
  <c r="L18" i="85"/>
  <c r="L19" i="85"/>
  <c r="L20" i="85"/>
  <c r="L21" i="85"/>
  <c r="M21" i="85" s="1"/>
  <c r="L22" i="85"/>
  <c r="L11" i="85"/>
  <c r="F11" i="85"/>
  <c r="B22" i="84"/>
  <c r="C22" i="84"/>
  <c r="D22" i="84" s="1"/>
  <c r="E22" i="84"/>
  <c r="B22" i="83"/>
  <c r="C22" i="83"/>
  <c r="D22" i="83" s="1"/>
  <c r="E22" i="83"/>
  <c r="B22" i="82"/>
  <c r="C22" i="82"/>
  <c r="D22" i="82" s="1"/>
  <c r="E22" i="82"/>
  <c r="B22" i="81"/>
  <c r="C22" i="81"/>
  <c r="D22" i="81" s="1"/>
  <c r="E22" i="81"/>
  <c r="C11" i="44" l="1"/>
  <c r="D11" i="44" s="1"/>
  <c r="C14" i="44"/>
  <c r="D14" i="44" s="1"/>
  <c r="B14" i="44"/>
  <c r="C4" i="44"/>
  <c r="D4" i="44" s="1"/>
  <c r="E11" i="44"/>
  <c r="B7" i="44"/>
  <c r="E6" i="44"/>
  <c r="C6" i="44"/>
  <c r="D6" i="44" s="1"/>
  <c r="C15" i="44"/>
  <c r="D15" i="44" s="1"/>
  <c r="B10" i="44"/>
  <c r="E5" i="44"/>
  <c r="B9" i="44"/>
  <c r="E4" i="44"/>
  <c r="E8" i="44"/>
  <c r="E13" i="44"/>
  <c r="B8" i="44"/>
  <c r="C3" i="44"/>
  <c r="D3" i="44" s="1"/>
  <c r="C2" i="44"/>
  <c r="D2" i="44" s="1"/>
  <c r="E15" i="44"/>
  <c r="C13" i="44"/>
  <c r="D13" i="44" s="1"/>
  <c r="E3" i="44"/>
  <c r="E10" i="44"/>
  <c r="E12" i="44"/>
  <c r="E7" i="44"/>
  <c r="C5" i="44"/>
  <c r="D5" i="44" s="1"/>
  <c r="C12" i="44"/>
  <c r="D12" i="44" s="1"/>
  <c r="E9" i="44"/>
  <c r="B2" i="44"/>
  <c r="A3" i="84"/>
  <c r="A4" i="84"/>
  <c r="A5" i="84"/>
  <c r="A6" i="84"/>
  <c r="A7" i="84"/>
  <c r="A8" i="84"/>
  <c r="A9" i="84"/>
  <c r="A10" i="84"/>
  <c r="A11" i="84"/>
  <c r="A12" i="84"/>
  <c r="A13" i="84"/>
  <c r="A14" i="84"/>
  <c r="A15" i="84"/>
  <c r="A16" i="84"/>
  <c r="A17" i="84"/>
  <c r="A18" i="84"/>
  <c r="A19" i="84"/>
  <c r="A20" i="84"/>
  <c r="A21" i="84"/>
  <c r="A22" i="84"/>
  <c r="A2" i="84"/>
  <c r="A3" i="83"/>
  <c r="A4" i="83"/>
  <c r="A5" i="83"/>
  <c r="A6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" i="8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" i="82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" i="81"/>
  <c r="A16" i="44"/>
  <c r="A17" i="44"/>
  <c r="A18" i="44"/>
  <c r="A19" i="44"/>
  <c r="A20" i="44"/>
  <c r="A21" i="44"/>
  <c r="A22" i="44"/>
  <c r="B4" i="59"/>
  <c r="B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3" i="59"/>
  <c r="B15" i="81" l="1"/>
  <c r="E15" i="81"/>
  <c r="C15" i="81"/>
  <c r="D15" i="81" s="1"/>
  <c r="C12" i="82"/>
  <c r="D12" i="82" s="1"/>
  <c r="B12" i="82"/>
  <c r="E12" i="82"/>
  <c r="B9" i="83"/>
  <c r="C9" i="83"/>
  <c r="D9" i="83" s="1"/>
  <c r="E9" i="83"/>
  <c r="B6" i="84"/>
  <c r="C6" i="84"/>
  <c r="D6" i="84" s="1"/>
  <c r="E6" i="84"/>
  <c r="C14" i="81"/>
  <c r="D14" i="81" s="1"/>
  <c r="E14" i="81"/>
  <c r="B14" i="81"/>
  <c r="B19" i="82"/>
  <c r="C19" i="82"/>
  <c r="D19" i="82" s="1"/>
  <c r="E19" i="82"/>
  <c r="C3" i="82"/>
  <c r="D3" i="82" s="1"/>
  <c r="E3" i="82"/>
  <c r="B3" i="82"/>
  <c r="B8" i="83"/>
  <c r="C8" i="83"/>
  <c r="D8" i="83" s="1"/>
  <c r="E8" i="83"/>
  <c r="C13" i="84"/>
  <c r="D13" i="84" s="1"/>
  <c r="E13" i="84"/>
  <c r="B13" i="84"/>
  <c r="E5" i="81"/>
  <c r="B5" i="81"/>
  <c r="C5" i="81"/>
  <c r="D5" i="81" s="1"/>
  <c r="B18" i="82"/>
  <c r="C18" i="82"/>
  <c r="D18" i="82" s="1"/>
  <c r="E18" i="82"/>
  <c r="B10" i="82"/>
  <c r="C10" i="82"/>
  <c r="D10" i="82" s="1"/>
  <c r="E10" i="82"/>
  <c r="E7" i="83"/>
  <c r="B7" i="83"/>
  <c r="C7" i="83"/>
  <c r="D7" i="83" s="1"/>
  <c r="E20" i="84"/>
  <c r="BF26" i="85" s="1"/>
  <c r="B20" i="84"/>
  <c r="BD26" i="85" s="1"/>
  <c r="C20" i="84"/>
  <c r="D20" i="84" s="1"/>
  <c r="BE26" i="85" s="1"/>
  <c r="E12" i="84"/>
  <c r="B12" i="84"/>
  <c r="C12" i="84"/>
  <c r="D12" i="84" s="1"/>
  <c r="E4" i="84"/>
  <c r="B4" i="84"/>
  <c r="C4" i="84"/>
  <c r="D4" i="84" s="1"/>
  <c r="B12" i="81"/>
  <c r="C12" i="81"/>
  <c r="D12" i="81" s="1"/>
  <c r="E12" i="81"/>
  <c r="E4" i="81"/>
  <c r="B4" i="81"/>
  <c r="C4" i="81"/>
  <c r="D4" i="81" s="1"/>
  <c r="E9" i="82"/>
  <c r="C9" i="82"/>
  <c r="D9" i="82" s="1"/>
  <c r="B9" i="82"/>
  <c r="C14" i="83"/>
  <c r="D14" i="83" s="1"/>
  <c r="E14" i="83"/>
  <c r="B14" i="83"/>
  <c r="C6" i="83"/>
  <c r="D6" i="83" s="1"/>
  <c r="E6" i="83"/>
  <c r="B6" i="83"/>
  <c r="C19" i="84"/>
  <c r="D19" i="84" s="1"/>
  <c r="BE25" i="85" s="1"/>
  <c r="E19" i="84"/>
  <c r="BF25" i="85" s="1"/>
  <c r="B19" i="84"/>
  <c r="BD25" i="85" s="1"/>
  <c r="C11" i="84"/>
  <c r="D11" i="84" s="1"/>
  <c r="E11" i="84"/>
  <c r="B11" i="84"/>
  <c r="C3" i="84"/>
  <c r="D3" i="84" s="1"/>
  <c r="E3" i="84"/>
  <c r="B3" i="84"/>
  <c r="E19" i="81"/>
  <c r="B19" i="81"/>
  <c r="C19" i="81"/>
  <c r="D19" i="81" s="1"/>
  <c r="E11" i="81"/>
  <c r="B11" i="81"/>
  <c r="C11" i="81"/>
  <c r="D11" i="81" s="1"/>
  <c r="B3" i="81"/>
  <c r="C3" i="81"/>
  <c r="D3" i="81" s="1"/>
  <c r="E3" i="81"/>
  <c r="B16" i="82"/>
  <c r="E16" i="82"/>
  <c r="C16" i="82"/>
  <c r="D16" i="82" s="1"/>
  <c r="B8" i="82"/>
  <c r="E8" i="82"/>
  <c r="C8" i="82"/>
  <c r="D8" i="82" s="1"/>
  <c r="B21" i="83"/>
  <c r="C21" i="83"/>
  <c r="D21" i="83" s="1"/>
  <c r="E21" i="83"/>
  <c r="B13" i="83"/>
  <c r="C13" i="83"/>
  <c r="D13" i="83" s="1"/>
  <c r="E13" i="83"/>
  <c r="B5" i="83"/>
  <c r="C5" i="83"/>
  <c r="D5" i="83" s="1"/>
  <c r="E5" i="83"/>
  <c r="B18" i="84"/>
  <c r="C18" i="84"/>
  <c r="D18" i="84" s="1"/>
  <c r="E18" i="84"/>
  <c r="B10" i="84"/>
  <c r="C10" i="84"/>
  <c r="D10" i="84" s="1"/>
  <c r="E10" i="84"/>
  <c r="C7" i="81"/>
  <c r="D7" i="81" s="1"/>
  <c r="B7" i="81"/>
  <c r="E7" i="81"/>
  <c r="C20" i="82"/>
  <c r="D20" i="82" s="1"/>
  <c r="E20" i="82"/>
  <c r="B20" i="82"/>
  <c r="B4" i="82"/>
  <c r="C4" i="82"/>
  <c r="D4" i="82" s="1"/>
  <c r="AM4" i="85" s="1"/>
  <c r="E4" i="82"/>
  <c r="B17" i="83"/>
  <c r="C17" i="83"/>
  <c r="D17" i="83" s="1"/>
  <c r="E17" i="83"/>
  <c r="B14" i="84"/>
  <c r="BD20" i="85" s="1"/>
  <c r="C14" i="84"/>
  <c r="D14" i="84" s="1"/>
  <c r="BE20" i="85" s="1"/>
  <c r="E14" i="84"/>
  <c r="BF20" i="85" s="1"/>
  <c r="C6" i="81"/>
  <c r="D6" i="81" s="1"/>
  <c r="B6" i="81"/>
  <c r="E6" i="81"/>
  <c r="C11" i="82"/>
  <c r="D11" i="82" s="1"/>
  <c r="AM22" i="85" s="1"/>
  <c r="E11" i="82"/>
  <c r="AN22" i="85" s="1"/>
  <c r="B11" i="82"/>
  <c r="AL22" i="85" s="1"/>
  <c r="B16" i="83"/>
  <c r="C16" i="83"/>
  <c r="D16" i="83" s="1"/>
  <c r="E16" i="83"/>
  <c r="B21" i="84"/>
  <c r="BD27" i="85" s="1"/>
  <c r="C21" i="84"/>
  <c r="D21" i="84" s="1"/>
  <c r="BE27" i="85" s="1"/>
  <c r="E21" i="84"/>
  <c r="BF27" i="85" s="1"/>
  <c r="E5" i="84"/>
  <c r="B5" i="84"/>
  <c r="C5" i="84"/>
  <c r="D5" i="84" s="1"/>
  <c r="B21" i="81"/>
  <c r="C21" i="81"/>
  <c r="D21" i="81" s="1"/>
  <c r="E21" i="81"/>
  <c r="E15" i="83"/>
  <c r="B15" i="83"/>
  <c r="C15" i="83"/>
  <c r="D15" i="83" s="1"/>
  <c r="B20" i="81"/>
  <c r="C20" i="81"/>
  <c r="D20" i="81" s="1"/>
  <c r="E20" i="81"/>
  <c r="E17" i="82"/>
  <c r="C17" i="82"/>
  <c r="D17" i="82" s="1"/>
  <c r="B17" i="82"/>
  <c r="B18" i="81"/>
  <c r="C18" i="81"/>
  <c r="D18" i="81" s="1"/>
  <c r="E18" i="81"/>
  <c r="B10" i="81"/>
  <c r="C10" i="81"/>
  <c r="D10" i="81" s="1"/>
  <c r="E10" i="81"/>
  <c r="AQ27" i="85"/>
  <c r="AO26" i="85"/>
  <c r="AM25" i="85"/>
  <c r="AM21" i="85"/>
  <c r="AM13" i="85"/>
  <c r="AM9" i="85"/>
  <c r="AM27" i="85"/>
  <c r="AQ25" i="85"/>
  <c r="AM19" i="85"/>
  <c r="AM11" i="85"/>
  <c r="AL27" i="85"/>
  <c r="AP25" i="85"/>
  <c r="AN24" i="85"/>
  <c r="AN20" i="85"/>
  <c r="AL19" i="85"/>
  <c r="AN12" i="85"/>
  <c r="AL11" i="85"/>
  <c r="AN4" i="85"/>
  <c r="E2" i="82"/>
  <c r="AN5" i="85" s="1"/>
  <c r="AQ26" i="85"/>
  <c r="AO25" i="85"/>
  <c r="AM24" i="85"/>
  <c r="AM20" i="85"/>
  <c r="AM12" i="85"/>
  <c r="AP26" i="85"/>
  <c r="AN25" i="85"/>
  <c r="AL24" i="85"/>
  <c r="AN21" i="85"/>
  <c r="AL20" i="85"/>
  <c r="AN13" i="85"/>
  <c r="AL12" i="85"/>
  <c r="AN9" i="85"/>
  <c r="AL4" i="85"/>
  <c r="AL21" i="85"/>
  <c r="B2" i="82"/>
  <c r="AL5" i="85" s="1"/>
  <c r="AP27" i="85"/>
  <c r="AL13" i="85"/>
  <c r="AO27" i="85"/>
  <c r="AL9" i="85"/>
  <c r="AM26" i="85"/>
  <c r="AN19" i="85"/>
  <c r="AN27" i="85"/>
  <c r="AN26" i="85"/>
  <c r="C2" i="82"/>
  <c r="D2" i="82" s="1"/>
  <c r="AM5" i="85" s="1"/>
  <c r="AL26" i="85"/>
  <c r="AL25" i="85"/>
  <c r="AN11" i="85"/>
  <c r="B15" i="82"/>
  <c r="AL23" i="85" s="1"/>
  <c r="C15" i="82"/>
  <c r="D15" i="82" s="1"/>
  <c r="AM23" i="85" s="1"/>
  <c r="E15" i="82"/>
  <c r="AN23" i="85" s="1"/>
  <c r="B7" i="82"/>
  <c r="AL18" i="85" s="1"/>
  <c r="C7" i="82"/>
  <c r="D7" i="82" s="1"/>
  <c r="AM18" i="85" s="1"/>
  <c r="E7" i="82"/>
  <c r="AN18" i="85" s="1"/>
  <c r="B20" i="83"/>
  <c r="C20" i="83"/>
  <c r="D20" i="83" s="1"/>
  <c r="E20" i="83"/>
  <c r="B12" i="83"/>
  <c r="C12" i="83"/>
  <c r="D12" i="83" s="1"/>
  <c r="AV9" i="85" s="1"/>
  <c r="E12" i="83"/>
  <c r="B4" i="83"/>
  <c r="AU4" i="85" s="1"/>
  <c r="C4" i="83"/>
  <c r="D4" i="83" s="1"/>
  <c r="E4" i="83"/>
  <c r="B17" i="84"/>
  <c r="C17" i="84"/>
  <c r="D17" i="84" s="1"/>
  <c r="E17" i="84"/>
  <c r="B9" i="84"/>
  <c r="C9" i="84"/>
  <c r="D9" i="84" s="1"/>
  <c r="E9" i="84"/>
  <c r="AE23" i="85"/>
  <c r="AE13" i="85"/>
  <c r="AE25" i="85"/>
  <c r="AE6" i="85"/>
  <c r="AE9" i="85"/>
  <c r="AE4" i="85"/>
  <c r="AE8" i="85"/>
  <c r="AE11" i="85"/>
  <c r="AE22" i="85"/>
  <c r="AE12" i="85"/>
  <c r="E2" i="81"/>
  <c r="AE20" i="85" s="1"/>
  <c r="B2" i="81"/>
  <c r="AC4" i="85" s="1"/>
  <c r="AE26" i="85"/>
  <c r="C2" i="81"/>
  <c r="D2" i="81" s="1"/>
  <c r="AE7" i="85"/>
  <c r="AE18" i="85"/>
  <c r="AE27" i="85"/>
  <c r="B13" i="81"/>
  <c r="E13" i="81"/>
  <c r="AE10" i="85" s="1"/>
  <c r="C13" i="81"/>
  <c r="D13" i="81" s="1"/>
  <c r="AV27" i="85"/>
  <c r="AZ25" i="85"/>
  <c r="AV23" i="85"/>
  <c r="AV19" i="85"/>
  <c r="AV11" i="85"/>
  <c r="AV7" i="85"/>
  <c r="B2" i="83"/>
  <c r="AU5" i="85" s="1"/>
  <c r="AU27" i="85"/>
  <c r="AY26" i="85"/>
  <c r="AW25" i="85"/>
  <c r="AU24" i="85"/>
  <c r="AZ27" i="85"/>
  <c r="AX26" i="85"/>
  <c r="AV25" i="85"/>
  <c r="AV13" i="85"/>
  <c r="AY27" i="85"/>
  <c r="AW26" i="85"/>
  <c r="AU25" i="85"/>
  <c r="AW18" i="85"/>
  <c r="AU13" i="85"/>
  <c r="AW10" i="85"/>
  <c r="AU9" i="85"/>
  <c r="AW6" i="85"/>
  <c r="AX27" i="85"/>
  <c r="AV26" i="85"/>
  <c r="AV18" i="85"/>
  <c r="AV10" i="85"/>
  <c r="AV6" i="85"/>
  <c r="E2" i="83"/>
  <c r="AW5" i="85" s="1"/>
  <c r="AW27" i="85"/>
  <c r="AU26" i="85"/>
  <c r="AW23" i="85"/>
  <c r="AW19" i="85"/>
  <c r="AU18" i="85"/>
  <c r="AW11" i="85"/>
  <c r="AU10" i="85"/>
  <c r="AW7" i="85"/>
  <c r="AU6" i="85"/>
  <c r="AV24" i="85"/>
  <c r="AW12" i="85"/>
  <c r="AW9" i="85"/>
  <c r="AU19" i="85"/>
  <c r="AW4" i="85"/>
  <c r="AY25" i="85"/>
  <c r="AU23" i="85"/>
  <c r="AV12" i="85"/>
  <c r="AW8" i="85"/>
  <c r="AU12" i="85"/>
  <c r="AV8" i="85"/>
  <c r="AU11" i="85"/>
  <c r="AU8" i="85"/>
  <c r="AV4" i="85"/>
  <c r="AZ26" i="85"/>
  <c r="AU7" i="85"/>
  <c r="AW13" i="85"/>
  <c r="AX25" i="85"/>
  <c r="AW24" i="85"/>
  <c r="C2" i="83"/>
  <c r="D2" i="83" s="1"/>
  <c r="AV5" i="85" s="1"/>
  <c r="B17" i="81"/>
  <c r="E17" i="81"/>
  <c r="C17" i="81"/>
  <c r="D17" i="81" s="1"/>
  <c r="B9" i="81"/>
  <c r="C9" i="81"/>
  <c r="D9" i="81" s="1"/>
  <c r="E9" i="81"/>
  <c r="AE19" i="85" s="1"/>
  <c r="C14" i="82"/>
  <c r="D14" i="82" s="1"/>
  <c r="AM6" i="85" s="1"/>
  <c r="E14" i="82"/>
  <c r="AN6" i="85" s="1"/>
  <c r="B14" i="82"/>
  <c r="AL6" i="85" s="1"/>
  <c r="B6" i="82"/>
  <c r="AL8" i="85" s="1"/>
  <c r="C6" i="82"/>
  <c r="D6" i="82" s="1"/>
  <c r="AM8" i="85" s="1"/>
  <c r="E6" i="82"/>
  <c r="AN8" i="85" s="1"/>
  <c r="E19" i="83"/>
  <c r="C19" i="83"/>
  <c r="D19" i="83" s="1"/>
  <c r="B19" i="83"/>
  <c r="E11" i="83"/>
  <c r="AW22" i="85" s="1"/>
  <c r="B11" i="83"/>
  <c r="AU22" i="85" s="1"/>
  <c r="C11" i="83"/>
  <c r="D11" i="83" s="1"/>
  <c r="AV22" i="85" s="1"/>
  <c r="E3" i="83"/>
  <c r="AW20" i="85" s="1"/>
  <c r="C3" i="83"/>
  <c r="D3" i="83" s="1"/>
  <c r="AV20" i="85" s="1"/>
  <c r="B3" i="83"/>
  <c r="AU20" i="85" s="1"/>
  <c r="E16" i="84"/>
  <c r="BF22" i="85" s="1"/>
  <c r="C16" i="84"/>
  <c r="D16" i="84" s="1"/>
  <c r="BE22" i="85" s="1"/>
  <c r="B16" i="84"/>
  <c r="BD22" i="85" s="1"/>
  <c r="E8" i="84"/>
  <c r="B8" i="84"/>
  <c r="C8" i="84"/>
  <c r="D8" i="84" s="1"/>
  <c r="BE10" i="85" s="1"/>
  <c r="B16" i="81"/>
  <c r="C16" i="81"/>
  <c r="D16" i="81" s="1"/>
  <c r="E16" i="81"/>
  <c r="E8" i="81"/>
  <c r="AE24" i="85" s="1"/>
  <c r="B8" i="81"/>
  <c r="C8" i="81"/>
  <c r="D8" i="81" s="1"/>
  <c r="C21" i="82"/>
  <c r="D21" i="82" s="1"/>
  <c r="B21" i="82"/>
  <c r="E21" i="82"/>
  <c r="B13" i="82"/>
  <c r="AL10" i="85" s="1"/>
  <c r="E13" i="82"/>
  <c r="AN10" i="85" s="1"/>
  <c r="C13" i="82"/>
  <c r="D13" i="82" s="1"/>
  <c r="AM10" i="85" s="1"/>
  <c r="C5" i="82"/>
  <c r="D5" i="82" s="1"/>
  <c r="AM7" i="85" s="1"/>
  <c r="B5" i="82"/>
  <c r="AL7" i="85" s="1"/>
  <c r="E5" i="82"/>
  <c r="AN7" i="85" s="1"/>
  <c r="C18" i="83"/>
  <c r="D18" i="83" s="1"/>
  <c r="B18" i="83"/>
  <c r="E18" i="83"/>
  <c r="C10" i="83"/>
  <c r="D10" i="83" s="1"/>
  <c r="AV21" i="85" s="1"/>
  <c r="B10" i="83"/>
  <c r="AU21" i="85" s="1"/>
  <c r="E10" i="83"/>
  <c r="AW21" i="85" s="1"/>
  <c r="C2" i="84"/>
  <c r="D2" i="84" s="1"/>
  <c r="BE4" i="85" s="1"/>
  <c r="E2" i="84"/>
  <c r="BF4" i="85" s="1"/>
  <c r="B2" i="84"/>
  <c r="BD4" i="85" s="1"/>
  <c r="C15" i="84"/>
  <c r="D15" i="84" s="1"/>
  <c r="BE21" i="85" s="1"/>
  <c r="B15" i="84"/>
  <c r="BD21" i="85" s="1"/>
  <c r="E15" i="84"/>
  <c r="BF21" i="85" s="1"/>
  <c r="C7" i="84"/>
  <c r="D7" i="84" s="1"/>
  <c r="BE9" i="85" s="1"/>
  <c r="B7" i="84"/>
  <c r="E7" i="84"/>
  <c r="C20" i="44"/>
  <c r="E20" i="44"/>
  <c r="B20" i="44"/>
  <c r="F20" i="44" s="1"/>
  <c r="F12" i="44"/>
  <c r="F4" i="44"/>
  <c r="B21" i="44"/>
  <c r="F21" i="44" s="1"/>
  <c r="C21" i="44"/>
  <c r="E21" i="44"/>
  <c r="C19" i="44"/>
  <c r="E19" i="44"/>
  <c r="B19" i="44"/>
  <c r="F19" i="44" s="1"/>
  <c r="F11" i="44"/>
  <c r="F3" i="44"/>
  <c r="F14" i="44"/>
  <c r="C18" i="44"/>
  <c r="E18" i="44"/>
  <c r="B18" i="44"/>
  <c r="F18" i="44" s="1"/>
  <c r="F10" i="44"/>
  <c r="F13" i="44"/>
  <c r="B17" i="44"/>
  <c r="F17" i="44" s="1"/>
  <c r="E17" i="44"/>
  <c r="C17" i="44"/>
  <c r="F9" i="44"/>
  <c r="B22" i="44"/>
  <c r="F22" i="44" s="1"/>
  <c r="C22" i="44"/>
  <c r="E22" i="44"/>
  <c r="E16" i="44"/>
  <c r="B16" i="44"/>
  <c r="F16" i="44" s="1"/>
  <c r="C16" i="44"/>
  <c r="F8" i="44"/>
  <c r="F6" i="44"/>
  <c r="F5" i="44"/>
  <c r="V5" i="85"/>
  <c r="F15" i="44"/>
  <c r="F7" i="44"/>
  <c r="AR25" i="85" l="1"/>
  <c r="AE5" i="85"/>
  <c r="BF23" i="85"/>
  <c r="BE18" i="85"/>
  <c r="BE23" i="85"/>
  <c r="BD18" i="85"/>
  <c r="BD23" i="85"/>
  <c r="BF18" i="85"/>
  <c r="AD19" i="85"/>
  <c r="AR27" i="85"/>
  <c r="BA26" i="85"/>
  <c r="BF24" i="85"/>
  <c r="BD19" i="85"/>
  <c r="BE24" i="85"/>
  <c r="BF19" i="85"/>
  <c r="BD24" i="85"/>
  <c r="BE19" i="85"/>
  <c r="BA27" i="85"/>
  <c r="BA25" i="85"/>
  <c r="T11" i="85"/>
  <c r="AE21" i="85"/>
  <c r="AD24" i="85"/>
  <c r="AD18" i="85"/>
  <c r="AD23" i="85"/>
  <c r="AD7" i="85"/>
  <c r="AD6" i="85"/>
  <c r="AD26" i="85"/>
  <c r="AD25" i="85"/>
  <c r="AD4" i="85"/>
  <c r="AD10" i="85"/>
  <c r="AD12" i="85"/>
  <c r="AD21" i="85"/>
  <c r="AD20" i="85"/>
  <c r="AD13" i="85"/>
  <c r="AD5" i="85"/>
  <c r="AD8" i="85"/>
  <c r="AD11" i="85"/>
  <c r="AD27" i="85"/>
  <c r="AD22" i="85"/>
  <c r="AD9" i="85"/>
  <c r="T21" i="85"/>
  <c r="T24" i="85"/>
  <c r="T20" i="85"/>
  <c r="T18" i="85"/>
  <c r="T26" i="85"/>
  <c r="T23" i="85"/>
  <c r="T22" i="85"/>
  <c r="T27" i="85"/>
  <c r="T25" i="85"/>
  <c r="T19" i="85"/>
  <c r="V26" i="85"/>
  <c r="V20" i="85"/>
  <c r="V23" i="85"/>
  <c r="V18" i="85"/>
  <c r="V25" i="85"/>
  <c r="V22" i="85"/>
  <c r="V24" i="85"/>
  <c r="V27" i="85"/>
  <c r="V21" i="85"/>
  <c r="V19" i="85"/>
  <c r="AC7" i="85"/>
  <c r="AC12" i="85"/>
  <c r="AC23" i="85"/>
  <c r="AC22" i="85"/>
  <c r="AC25" i="85"/>
  <c r="AC6" i="85"/>
  <c r="AC10" i="85"/>
  <c r="AC18" i="85"/>
  <c r="AC27" i="85"/>
  <c r="AC13" i="85"/>
  <c r="AC5" i="85"/>
  <c r="AC19" i="85"/>
  <c r="AC11" i="85"/>
  <c r="AC8" i="85"/>
  <c r="AC21" i="85"/>
  <c r="AC26" i="85"/>
  <c r="AC9" i="85"/>
  <c r="AC24" i="85"/>
  <c r="AC20" i="85"/>
  <c r="AR26" i="85"/>
  <c r="BF9" i="85"/>
  <c r="BF10" i="85"/>
  <c r="BD5" i="85"/>
  <c r="T4" i="85"/>
  <c r="V9" i="85"/>
  <c r="T7" i="85"/>
  <c r="BE6" i="85"/>
  <c r="BD9" i="85"/>
  <c r="BF5" i="85"/>
  <c r="V4" i="85"/>
  <c r="BD6" i="85"/>
  <c r="BF11" i="85"/>
  <c r="BF12" i="85"/>
  <c r="BE5" i="85"/>
  <c r="V7" i="85"/>
  <c r="V10" i="85"/>
  <c r="V11" i="85"/>
  <c r="V6" i="85"/>
  <c r="T8" i="85"/>
  <c r="BF6" i="85"/>
  <c r="BE11" i="85"/>
  <c r="BE12" i="85"/>
  <c r="BD13" i="85"/>
  <c r="T6" i="85"/>
  <c r="BD11" i="85"/>
  <c r="BE7" i="85"/>
  <c r="BD12" i="85"/>
  <c r="BF13" i="85"/>
  <c r="T12" i="85"/>
  <c r="T9" i="85"/>
  <c r="V12" i="85"/>
  <c r="V8" i="85"/>
  <c r="BF8" i="85"/>
  <c r="BD7" i="85"/>
  <c r="BE13" i="85"/>
  <c r="V13" i="85"/>
  <c r="BE8" i="85"/>
  <c r="BF7" i="85"/>
  <c r="T10" i="85"/>
  <c r="BD8" i="85"/>
  <c r="BD10" i="85"/>
  <c r="T13" i="85"/>
  <c r="T5" i="85"/>
  <c r="F21" i="84" l="1"/>
  <c r="BG27" i="85" s="1"/>
  <c r="F18" i="84"/>
  <c r="BG24" i="85" s="1"/>
  <c r="F16" i="84"/>
  <c r="F10" i="84"/>
  <c r="F8" i="84"/>
  <c r="F5" i="84"/>
  <c r="G2" i="84"/>
  <c r="H17" i="83"/>
  <c r="F16" i="83"/>
  <c r="H9" i="83"/>
  <c r="AZ19" i="85" s="1"/>
  <c r="F8" i="83"/>
  <c r="AX24" i="85" s="1"/>
  <c r="F5" i="83"/>
  <c r="H2" i="83"/>
  <c r="F21" i="82"/>
  <c r="F18" i="82"/>
  <c r="F16" i="82"/>
  <c r="F13" i="82"/>
  <c r="F10" i="82"/>
  <c r="AO21" i="85" s="1"/>
  <c r="F8" i="82"/>
  <c r="AO24" i="85" s="1"/>
  <c r="F5" i="82"/>
  <c r="H2" i="82"/>
  <c r="F8" i="81"/>
  <c r="H7" i="81"/>
  <c r="F5" i="81"/>
  <c r="F2" i="81"/>
  <c r="AF24" i="85" l="1"/>
  <c r="AF25" i="85"/>
  <c r="AF27" i="85"/>
  <c r="AF26" i="85"/>
  <c r="AF11" i="85"/>
  <c r="AF5" i="85"/>
  <c r="AF7" i="85"/>
  <c r="AF12" i="85"/>
  <c r="AF13" i="85"/>
  <c r="AQ12" i="85"/>
  <c r="AQ5" i="85"/>
  <c r="AQ13" i="85"/>
  <c r="AQ11" i="85"/>
  <c r="AZ5" i="85"/>
  <c r="AZ11" i="85"/>
  <c r="AZ13" i="85"/>
  <c r="AZ12" i="85"/>
  <c r="F16" i="81"/>
  <c r="H14" i="83"/>
  <c r="AZ6" i="85" s="1"/>
  <c r="H21" i="82"/>
  <c r="F15" i="81"/>
  <c r="AF23" i="85" s="1"/>
  <c r="F11" i="82"/>
  <c r="AO22" i="85" s="1"/>
  <c r="H12" i="83"/>
  <c r="AZ9" i="85" s="1"/>
  <c r="H9" i="81"/>
  <c r="F12" i="83"/>
  <c r="H3" i="83"/>
  <c r="AZ20" i="85" s="1"/>
  <c r="G2" i="81"/>
  <c r="F19" i="82"/>
  <c r="H8" i="82"/>
  <c r="AQ24" i="85" s="1"/>
  <c r="H9" i="84"/>
  <c r="F9" i="84"/>
  <c r="H11" i="83"/>
  <c r="AZ22" i="85" s="1"/>
  <c r="H2" i="81"/>
  <c r="H6" i="82"/>
  <c r="AQ8" i="85" s="1"/>
  <c r="H12" i="81"/>
  <c r="H4" i="81"/>
  <c r="F18" i="83"/>
  <c r="F10" i="83"/>
  <c r="AX21" i="85" s="1"/>
  <c r="H16" i="84"/>
  <c r="F7" i="84"/>
  <c r="F7" i="81"/>
  <c r="AF18" i="85" s="1"/>
  <c r="H18" i="81"/>
  <c r="H10" i="81"/>
  <c r="H13" i="82"/>
  <c r="AQ10" i="85" s="1"/>
  <c r="H5" i="82"/>
  <c r="AQ7" i="85" s="1"/>
  <c r="F18" i="81"/>
  <c r="F10" i="81"/>
  <c r="AF21" i="85" s="1"/>
  <c r="F12" i="82"/>
  <c r="F4" i="82"/>
  <c r="F9" i="83"/>
  <c r="AX19" i="85" s="1"/>
  <c r="H17" i="81"/>
  <c r="H11" i="84"/>
  <c r="G22" i="81"/>
  <c r="G12" i="81"/>
  <c r="G10" i="83"/>
  <c r="AY21" i="85" s="1"/>
  <c r="G7" i="84"/>
  <c r="G22" i="82"/>
  <c r="G18" i="81"/>
  <c r="G16" i="81"/>
  <c r="G4" i="82"/>
  <c r="G12" i="82"/>
  <c r="G20" i="82"/>
  <c r="G19" i="84"/>
  <c r="BH25" i="85" s="1"/>
  <c r="G12" i="83"/>
  <c r="G20" i="83"/>
  <c r="G9" i="84"/>
  <c r="BH11" i="85" s="1"/>
  <c r="G10" i="81"/>
  <c r="F6" i="84"/>
  <c r="H22" i="81"/>
  <c r="F20" i="81"/>
  <c r="H14" i="81"/>
  <c r="F12" i="81"/>
  <c r="AF9" i="85" s="1"/>
  <c r="H6" i="81"/>
  <c r="H18" i="82"/>
  <c r="H10" i="82"/>
  <c r="AQ21" i="85" s="1"/>
  <c r="H22" i="83"/>
  <c r="F22" i="83"/>
  <c r="H16" i="83"/>
  <c r="F6" i="83"/>
  <c r="F19" i="84"/>
  <c r="BG25" i="85" s="1"/>
  <c r="H13" i="84"/>
  <c r="H5" i="84"/>
  <c r="F3" i="82"/>
  <c r="AO20" i="85" s="1"/>
  <c r="H19" i="83"/>
  <c r="F17" i="83"/>
  <c r="F22" i="84"/>
  <c r="H19" i="81"/>
  <c r="H3" i="81"/>
  <c r="F2" i="82"/>
  <c r="H15" i="82"/>
  <c r="AQ23" i="85" s="1"/>
  <c r="H7" i="82"/>
  <c r="AQ18" i="85" s="1"/>
  <c r="H21" i="83"/>
  <c r="H13" i="83"/>
  <c r="AZ10" i="85" s="1"/>
  <c r="H5" i="83"/>
  <c r="AZ7" i="85" s="1"/>
  <c r="H18" i="84"/>
  <c r="H10" i="84"/>
  <c r="BI12" i="85" s="1"/>
  <c r="G22" i="84"/>
  <c r="F22" i="82"/>
  <c r="F22" i="81"/>
  <c r="H16" i="81"/>
  <c r="F14" i="81"/>
  <c r="AF6" i="85" s="1"/>
  <c r="H8" i="81"/>
  <c r="H20" i="82"/>
  <c r="H12" i="82"/>
  <c r="AQ9" i="85" s="1"/>
  <c r="H4" i="82"/>
  <c r="AQ4" i="85" s="1"/>
  <c r="H18" i="83"/>
  <c r="H10" i="83"/>
  <c r="AZ21" i="85" s="1"/>
  <c r="F2" i="84"/>
  <c r="H15" i="84"/>
  <c r="BI21" i="85" s="1"/>
  <c r="F13" i="84"/>
  <c r="H7" i="84"/>
  <c r="G15" i="81"/>
  <c r="H21" i="81"/>
  <c r="H13" i="81"/>
  <c r="F3" i="81"/>
  <c r="AF20" i="85" s="1"/>
  <c r="H17" i="82"/>
  <c r="H9" i="82"/>
  <c r="AQ19" i="85" s="1"/>
  <c r="F2" i="83"/>
  <c r="H15" i="83"/>
  <c r="AZ23" i="85" s="1"/>
  <c r="F13" i="83"/>
  <c r="H7" i="83"/>
  <c r="AZ18" i="85" s="1"/>
  <c r="H20" i="84"/>
  <c r="BI26" i="85" s="1"/>
  <c r="H12" i="84"/>
  <c r="BI18" i="85" s="1"/>
  <c r="H4" i="84"/>
  <c r="G19" i="82"/>
  <c r="G3" i="82"/>
  <c r="AP20" i="85" s="1"/>
  <c r="H4" i="83"/>
  <c r="AZ4" i="85" s="1"/>
  <c r="H17" i="84"/>
  <c r="G21" i="81"/>
  <c r="G13" i="81"/>
  <c r="G5" i="81"/>
  <c r="G7" i="83"/>
  <c r="AY18" i="85" s="1"/>
  <c r="G11" i="84"/>
  <c r="BH13" i="85" s="1"/>
  <c r="F21" i="81"/>
  <c r="H15" i="81"/>
  <c r="F13" i="81"/>
  <c r="AF10" i="85" s="1"/>
  <c r="H8" i="83"/>
  <c r="AZ24" i="85" s="1"/>
  <c r="F7" i="83"/>
  <c r="AX18" i="85" s="1"/>
  <c r="H3" i="84"/>
  <c r="H22" i="84"/>
  <c r="H14" i="84"/>
  <c r="G22" i="83"/>
  <c r="G14" i="83"/>
  <c r="H14" i="82"/>
  <c r="AQ6" i="85" s="1"/>
  <c r="H6" i="84"/>
  <c r="BI8" i="85" s="1"/>
  <c r="H19" i="84"/>
  <c r="BI25" i="85" s="1"/>
  <c r="H3" i="82"/>
  <c r="AQ20" i="85" s="1"/>
  <c r="F15" i="84"/>
  <c r="BG21" i="85" s="1"/>
  <c r="H8" i="84"/>
  <c r="H21" i="84"/>
  <c r="BI27" i="85" s="1"/>
  <c r="H2" i="84"/>
  <c r="BI4" i="85" s="1"/>
  <c r="F3" i="84"/>
  <c r="F11" i="84"/>
  <c r="BG13" i="85" s="1"/>
  <c r="F14" i="84"/>
  <c r="F17" i="84"/>
  <c r="F4" i="84"/>
  <c r="F12" i="84"/>
  <c r="BG18" i="85" s="1"/>
  <c r="F20" i="84"/>
  <c r="BG26" i="85" s="1"/>
  <c r="F15" i="83"/>
  <c r="AX23" i="85" s="1"/>
  <c r="G18" i="83"/>
  <c r="H6" i="83"/>
  <c r="AZ8" i="85" s="1"/>
  <c r="H20" i="83"/>
  <c r="F21" i="83"/>
  <c r="F3" i="83"/>
  <c r="AX20" i="85" s="1"/>
  <c r="F11" i="83"/>
  <c r="AX22" i="85" s="1"/>
  <c r="F19" i="83"/>
  <c r="F14" i="83"/>
  <c r="F4" i="83"/>
  <c r="F20" i="83"/>
  <c r="H16" i="82"/>
  <c r="F7" i="82"/>
  <c r="AO18" i="85" s="1"/>
  <c r="F15" i="82"/>
  <c r="AO23" i="85" s="1"/>
  <c r="H19" i="82"/>
  <c r="H22" i="82"/>
  <c r="F14" i="82"/>
  <c r="F9" i="82"/>
  <c r="AO19" i="85" s="1"/>
  <c r="F17" i="82"/>
  <c r="F6" i="82"/>
  <c r="H11" i="82"/>
  <c r="AQ22" i="85" s="1"/>
  <c r="F20" i="82"/>
  <c r="H5" i="81"/>
  <c r="H11" i="81"/>
  <c r="H20" i="81"/>
  <c r="F6" i="81"/>
  <c r="AF8" i="85" s="1"/>
  <c r="F9" i="81"/>
  <c r="AF19" i="85" s="1"/>
  <c r="F17" i="81"/>
  <c r="F11" i="81"/>
  <c r="AF22" i="85" s="1"/>
  <c r="F19" i="81"/>
  <c r="F4" i="81"/>
  <c r="AF4" i="85" s="1"/>
  <c r="BG23" i="85" l="1"/>
  <c r="BI24" i="85"/>
  <c r="BG5" i="85"/>
  <c r="BI5" i="85"/>
  <c r="BI23" i="85"/>
  <c r="BA18" i="85"/>
  <c r="AR20" i="85"/>
  <c r="BI22" i="85"/>
  <c r="BG19" i="85"/>
  <c r="BA21" i="85"/>
  <c r="BG6" i="85"/>
  <c r="BG4" i="85"/>
  <c r="BG22" i="85"/>
  <c r="BG20" i="85"/>
  <c r="BI20" i="85"/>
  <c r="BI19" i="85"/>
  <c r="AH19" i="85"/>
  <c r="AH18" i="85"/>
  <c r="AH24" i="85"/>
  <c r="AH20" i="85"/>
  <c r="AH22" i="85"/>
  <c r="AH21" i="85"/>
  <c r="AH25" i="85"/>
  <c r="AH27" i="85"/>
  <c r="AH26" i="85"/>
  <c r="AH23" i="85"/>
  <c r="AG26" i="85"/>
  <c r="AG25" i="85"/>
  <c r="AG23" i="85"/>
  <c r="AG21" i="85"/>
  <c r="AG27" i="85"/>
  <c r="BJ25" i="85"/>
  <c r="BG9" i="85"/>
  <c r="BG7" i="85"/>
  <c r="BG11" i="85"/>
  <c r="BG10" i="85"/>
  <c r="BI11" i="85"/>
  <c r="AO10" i="85"/>
  <c r="AO8" i="85"/>
  <c r="AO5" i="85"/>
  <c r="AO6" i="85"/>
  <c r="AO4" i="85"/>
  <c r="AO13" i="85"/>
  <c r="AO11" i="85"/>
  <c r="AO7" i="85"/>
  <c r="AO12" i="85"/>
  <c r="AO9" i="85"/>
  <c r="BI9" i="85"/>
  <c r="AX5" i="85"/>
  <c r="AX4" i="85"/>
  <c r="AX10" i="85"/>
  <c r="AX7" i="85"/>
  <c r="AX12" i="85"/>
  <c r="AX13" i="85"/>
  <c r="AX6" i="85"/>
  <c r="AX9" i="85"/>
  <c r="AX8" i="85"/>
  <c r="AX11" i="85"/>
  <c r="BI10" i="85"/>
  <c r="BI6" i="85"/>
  <c r="BG8" i="85"/>
  <c r="BI13" i="85"/>
  <c r="BJ13" i="85" s="1"/>
  <c r="AG11" i="85"/>
  <c r="AG12" i="85"/>
  <c r="AG4" i="85"/>
  <c r="AG5" i="85"/>
  <c r="AG10" i="85"/>
  <c r="AG7" i="85"/>
  <c r="AG13" i="85"/>
  <c r="AG9" i="85"/>
  <c r="BI7" i="85"/>
  <c r="AH12" i="85"/>
  <c r="AH6" i="85"/>
  <c r="AH4" i="85"/>
  <c r="AH7" i="85"/>
  <c r="AH8" i="85"/>
  <c r="AH5" i="85"/>
  <c r="AH9" i="85"/>
  <c r="AH13" i="85"/>
  <c r="AH10" i="85"/>
  <c r="AH11" i="85"/>
  <c r="BG12" i="85"/>
  <c r="G17" i="83"/>
  <c r="I17" i="83" s="1"/>
  <c r="G8" i="82"/>
  <c r="G11" i="82"/>
  <c r="G17" i="82"/>
  <c r="I17" i="82" s="1"/>
  <c r="I2" i="81"/>
  <c r="G2" i="83"/>
  <c r="I5" i="81"/>
  <c r="I2" i="84"/>
  <c r="G16" i="82"/>
  <c r="I16" i="82" s="1"/>
  <c r="G4" i="81"/>
  <c r="I4" i="81" s="1"/>
  <c r="G15" i="83"/>
  <c r="G4" i="84"/>
  <c r="BH4" i="85" s="1"/>
  <c r="G7" i="81"/>
  <c r="I7" i="81" s="1"/>
  <c r="G20" i="84"/>
  <c r="I18" i="81"/>
  <c r="I15" i="81"/>
  <c r="I18" i="83"/>
  <c r="I13" i="81"/>
  <c r="I7" i="83"/>
  <c r="G3" i="84"/>
  <c r="BH5" i="85" s="1"/>
  <c r="G14" i="84"/>
  <c r="I10" i="81"/>
  <c r="I10" i="83"/>
  <c r="I12" i="83"/>
  <c r="I16" i="81"/>
  <c r="G9" i="83"/>
  <c r="G8" i="81"/>
  <c r="I8" i="81" s="1"/>
  <c r="G19" i="81"/>
  <c r="I19" i="81" s="1"/>
  <c r="G5" i="84"/>
  <c r="G16" i="83"/>
  <c r="I16" i="83" s="1"/>
  <c r="G18" i="84"/>
  <c r="G7" i="82"/>
  <c r="G11" i="81"/>
  <c r="I11" i="81" s="1"/>
  <c r="G10" i="82"/>
  <c r="G17" i="81"/>
  <c r="I17" i="81" s="1"/>
  <c r="G8" i="84"/>
  <c r="G13" i="82"/>
  <c r="I13" i="82" s="1"/>
  <c r="G8" i="83"/>
  <c r="H23" i="84"/>
  <c r="G4" i="83"/>
  <c r="I4" i="83" s="1"/>
  <c r="G5" i="83"/>
  <c r="I5" i="83" s="1"/>
  <c r="G15" i="82"/>
  <c r="G18" i="82"/>
  <c r="I18" i="82" s="1"/>
  <c r="G11" i="83"/>
  <c r="G16" i="84"/>
  <c r="G21" i="82"/>
  <c r="I21" i="82" s="1"/>
  <c r="H23" i="82"/>
  <c r="G19" i="83"/>
  <c r="I19" i="83" s="1"/>
  <c r="G20" i="81"/>
  <c r="I20" i="81" s="1"/>
  <c r="H23" i="81"/>
  <c r="G6" i="84"/>
  <c r="G13" i="83"/>
  <c r="I13" i="83" s="1"/>
  <c r="G2" i="82"/>
  <c r="G9" i="81"/>
  <c r="I9" i="81" s="1"/>
  <c r="G12" i="84"/>
  <c r="BH9" i="85" s="1"/>
  <c r="G21" i="83"/>
  <c r="I21" i="83" s="1"/>
  <c r="G3" i="81"/>
  <c r="AG20" i="85" s="1"/>
  <c r="G10" i="84"/>
  <c r="G13" i="84"/>
  <c r="G6" i="81"/>
  <c r="I6" i="81" s="1"/>
  <c r="I7" i="84"/>
  <c r="G6" i="82"/>
  <c r="I6" i="82" s="1"/>
  <c r="G15" i="84"/>
  <c r="G17" i="84"/>
  <c r="G14" i="82"/>
  <c r="I14" i="82" s="1"/>
  <c r="G6" i="83"/>
  <c r="I6" i="83" s="1"/>
  <c r="G21" i="84"/>
  <c r="G14" i="81"/>
  <c r="I14" i="81" s="1"/>
  <c r="G9" i="82"/>
  <c r="G3" i="83"/>
  <c r="AY20" i="85" s="1"/>
  <c r="BA20" i="85" s="1"/>
  <c r="G5" i="82"/>
  <c r="I5" i="82" s="1"/>
  <c r="I11" i="84"/>
  <c r="I9" i="84"/>
  <c r="F23" i="84"/>
  <c r="I22" i="84"/>
  <c r="I19" i="84"/>
  <c r="I20" i="83"/>
  <c r="H23" i="83"/>
  <c r="I14" i="83"/>
  <c r="F23" i="83"/>
  <c r="I22" i="83"/>
  <c r="I12" i="82"/>
  <c r="I3" i="82"/>
  <c r="I19" i="82"/>
  <c r="I4" i="82"/>
  <c r="I22" i="82"/>
  <c r="F23" i="82"/>
  <c r="I20" i="82"/>
  <c r="I12" i="81"/>
  <c r="I22" i="81"/>
  <c r="I21" i="81"/>
  <c r="F23" i="81"/>
  <c r="BJ4" i="85" l="1"/>
  <c r="AG19" i="85"/>
  <c r="AI19" i="85" s="1"/>
  <c r="BJ5" i="85"/>
  <c r="AI27" i="85"/>
  <c r="I11" i="82"/>
  <c r="AP22" i="85"/>
  <c r="AR22" i="85" s="1"/>
  <c r="AG18" i="85"/>
  <c r="AI18" i="85" s="1"/>
  <c r="I10" i="82"/>
  <c r="AP21" i="85"/>
  <c r="AR21" i="85" s="1"/>
  <c r="I15" i="83"/>
  <c r="AY23" i="85"/>
  <c r="BA23" i="85" s="1"/>
  <c r="I9" i="82"/>
  <c r="AP19" i="85"/>
  <c r="AR19" i="85" s="1"/>
  <c r="AG6" i="85"/>
  <c r="AI6" i="85" s="1"/>
  <c r="I11" i="83"/>
  <c r="AY22" i="85"/>
  <c r="BA22" i="85" s="1"/>
  <c r="I7" i="82"/>
  <c r="AP18" i="85"/>
  <c r="AR18" i="85" s="1"/>
  <c r="I15" i="82"/>
  <c r="AP23" i="85"/>
  <c r="AR23" i="85" s="1"/>
  <c r="AG24" i="85"/>
  <c r="AI24" i="85" s="1"/>
  <c r="AI4" i="85"/>
  <c r="AG8" i="85"/>
  <c r="AI8" i="85" s="1"/>
  <c r="AG22" i="85"/>
  <c r="AI22" i="85" s="1"/>
  <c r="I8" i="83"/>
  <c r="AY24" i="85"/>
  <c r="BA24" i="85" s="1"/>
  <c r="I9" i="83"/>
  <c r="AY19" i="85"/>
  <c r="BA19" i="85" s="1"/>
  <c r="I8" i="82"/>
  <c r="AP24" i="85"/>
  <c r="AR24" i="85" s="1"/>
  <c r="BJ9" i="85"/>
  <c r="AI20" i="85"/>
  <c r="AI11" i="85"/>
  <c r="BJ11" i="85"/>
  <c r="AI26" i="85"/>
  <c r="AI23" i="85"/>
  <c r="AI5" i="85"/>
  <c r="AI7" i="85"/>
  <c r="AI9" i="85"/>
  <c r="AI21" i="85"/>
  <c r="AI25" i="85"/>
  <c r="AI10" i="85"/>
  <c r="AI13" i="85"/>
  <c r="AI12" i="85"/>
  <c r="I2" i="83"/>
  <c r="AY11" i="85"/>
  <c r="BA11" i="85" s="1"/>
  <c r="AY8" i="85"/>
  <c r="BA8" i="85" s="1"/>
  <c r="AY13" i="85"/>
  <c r="BA13" i="85" s="1"/>
  <c r="AY7" i="85"/>
  <c r="BA7" i="85" s="1"/>
  <c r="AY4" i="85"/>
  <c r="BA4" i="85" s="1"/>
  <c r="AY10" i="85"/>
  <c r="BA10" i="85" s="1"/>
  <c r="AY9" i="85"/>
  <c r="BA9" i="85" s="1"/>
  <c r="AY6" i="85"/>
  <c r="BA6" i="85" s="1"/>
  <c r="AY12" i="85"/>
  <c r="BA12" i="85" s="1"/>
  <c r="AY5" i="85"/>
  <c r="BA5" i="85" s="1"/>
  <c r="I2" i="82"/>
  <c r="AP5" i="85"/>
  <c r="AR5" i="85" s="1"/>
  <c r="AP11" i="85"/>
  <c r="AR11" i="85" s="1"/>
  <c r="AP8" i="85"/>
  <c r="AR8" i="85" s="1"/>
  <c r="AP13" i="85"/>
  <c r="AR13" i="85" s="1"/>
  <c r="AP12" i="85"/>
  <c r="AR12" i="85" s="1"/>
  <c r="AP10" i="85"/>
  <c r="AR10" i="85" s="1"/>
  <c r="AP7" i="85"/>
  <c r="AR7" i="85" s="1"/>
  <c r="AP9" i="85"/>
  <c r="AR9" i="85" s="1"/>
  <c r="AP6" i="85"/>
  <c r="AR6" i="85" s="1"/>
  <c r="AP4" i="85"/>
  <c r="AR4" i="85" s="1"/>
  <c r="I6" i="84"/>
  <c r="BH8" i="85"/>
  <c r="BJ8" i="85" s="1"/>
  <c r="I21" i="84"/>
  <c r="BH27" i="85"/>
  <c r="BJ27" i="85" s="1"/>
  <c r="I13" i="84"/>
  <c r="BH19" i="85"/>
  <c r="BJ19" i="85" s="1"/>
  <c r="I10" i="84"/>
  <c r="BH12" i="85"/>
  <c r="BJ12" i="85" s="1"/>
  <c r="I17" i="84"/>
  <c r="BH23" i="85"/>
  <c r="BJ23" i="85" s="1"/>
  <c r="I18" i="84"/>
  <c r="BH24" i="85"/>
  <c r="BJ24" i="85" s="1"/>
  <c r="I15" i="84"/>
  <c r="BH21" i="85"/>
  <c r="BJ21" i="85" s="1"/>
  <c r="I12" i="84"/>
  <c r="BH18" i="85"/>
  <c r="BJ18" i="85" s="1"/>
  <c r="I20" i="84"/>
  <c r="BH26" i="85"/>
  <c r="BJ26" i="85" s="1"/>
  <c r="I16" i="84"/>
  <c r="BH22" i="85"/>
  <c r="BJ22" i="85" s="1"/>
  <c r="I5" i="84"/>
  <c r="BH7" i="85"/>
  <c r="BJ7" i="85" s="1"/>
  <c r="I14" i="84"/>
  <c r="BH20" i="85"/>
  <c r="BJ20" i="85" s="1"/>
  <c r="I8" i="84"/>
  <c r="BH10" i="85"/>
  <c r="BJ10" i="85" s="1"/>
  <c r="I4" i="84"/>
  <c r="BH6" i="85"/>
  <c r="BJ6" i="85" s="1"/>
  <c r="G23" i="84"/>
  <c r="I3" i="84"/>
  <c r="G23" i="83"/>
  <c r="I3" i="83"/>
  <c r="G23" i="82"/>
  <c r="G23" i="81"/>
  <c r="I3" i="81"/>
  <c r="I23" i="82" l="1"/>
  <c r="BA28" i="85"/>
  <c r="AI28" i="85"/>
  <c r="AR28" i="85"/>
  <c r="I23" i="83"/>
  <c r="AI14" i="85"/>
  <c r="I23" i="84"/>
  <c r="BA14" i="85"/>
  <c r="AR14" i="85"/>
  <c r="BJ14" i="85"/>
  <c r="BJ28" i="85"/>
  <c r="I23" i="81"/>
  <c r="R22" i="59" l="1"/>
  <c r="R23" i="59"/>
  <c r="R24" i="59"/>
  <c r="R25" i="59"/>
  <c r="R26" i="59"/>
  <c r="R21" i="59"/>
  <c r="R13" i="59"/>
  <c r="R14" i="59"/>
  <c r="R15" i="59"/>
  <c r="R16" i="59"/>
  <c r="R17" i="59"/>
  <c r="R12" i="59"/>
  <c r="R8" i="59"/>
  <c r="O22" i="59"/>
  <c r="O23" i="59"/>
  <c r="O24" i="59"/>
  <c r="O25" i="59"/>
  <c r="O26" i="59"/>
  <c r="O21" i="59"/>
  <c r="O13" i="59"/>
  <c r="O14" i="59"/>
  <c r="O15" i="59"/>
  <c r="O16" i="59"/>
  <c r="O17" i="59"/>
  <c r="O12" i="59"/>
  <c r="O8" i="59"/>
  <c r="L22" i="59"/>
  <c r="L23" i="59"/>
  <c r="L24" i="59"/>
  <c r="L25" i="59"/>
  <c r="L26" i="59"/>
  <c r="L21" i="59"/>
  <c r="L17" i="59"/>
  <c r="L8" i="59"/>
  <c r="I13" i="59"/>
  <c r="I14" i="59"/>
  <c r="I15" i="59"/>
  <c r="I16" i="59"/>
  <c r="I17" i="59"/>
  <c r="I18" i="59"/>
  <c r="I19" i="59"/>
  <c r="I20" i="59"/>
  <c r="I21" i="59"/>
  <c r="I22" i="59"/>
  <c r="I23" i="59"/>
  <c r="F13" i="59"/>
  <c r="F14" i="59"/>
  <c r="F15" i="59"/>
  <c r="F16" i="59"/>
  <c r="F17" i="59"/>
  <c r="F18" i="59"/>
  <c r="F19" i="59"/>
  <c r="F20" i="59"/>
  <c r="F21" i="59"/>
  <c r="F22" i="59"/>
  <c r="F23" i="59"/>
  <c r="F2" i="44" l="1"/>
  <c r="H12" i="44"/>
  <c r="H13" i="44"/>
  <c r="H21" i="44"/>
  <c r="H15" i="44"/>
  <c r="H18" i="44"/>
  <c r="H20" i="44"/>
  <c r="G22" i="44"/>
  <c r="W20" i="85" l="1"/>
  <c r="W24" i="85"/>
  <c r="W21" i="85"/>
  <c r="W19" i="85"/>
  <c r="W25" i="85"/>
  <c r="W22" i="85"/>
  <c r="W26" i="85"/>
  <c r="W23" i="85"/>
  <c r="W18" i="85"/>
  <c r="W27" i="85"/>
  <c r="W7" i="85"/>
  <c r="W5" i="85"/>
  <c r="W12" i="85"/>
  <c r="W13" i="85"/>
  <c r="W6" i="85"/>
  <c r="W10" i="85"/>
  <c r="W11" i="85"/>
  <c r="W9" i="85"/>
  <c r="W8" i="85"/>
  <c r="W4" i="85"/>
  <c r="H19" i="44"/>
  <c r="H11" i="44"/>
  <c r="H7" i="44"/>
  <c r="H5" i="44"/>
  <c r="H10" i="44"/>
  <c r="H3" i="44"/>
  <c r="D22" i="44"/>
  <c r="D16" i="44"/>
  <c r="D17" i="44"/>
  <c r="O18" i="59"/>
  <c r="R27" i="59"/>
  <c r="H8" i="44"/>
  <c r="H16" i="44"/>
  <c r="R18" i="59"/>
  <c r="L27" i="59"/>
  <c r="O27" i="59"/>
  <c r="H4" i="44"/>
  <c r="H17" i="44"/>
  <c r="H9" i="44"/>
  <c r="H22" i="44"/>
  <c r="H14" i="44"/>
  <c r="H6" i="44"/>
  <c r="G9" i="44" l="1"/>
  <c r="I9" i="44" s="1"/>
  <c r="C10" i="59" s="1"/>
  <c r="G4" i="44"/>
  <c r="G6" i="44"/>
  <c r="G14" i="44"/>
  <c r="G17" i="44"/>
  <c r="G16" i="44"/>
  <c r="G8" i="44"/>
  <c r="D18" i="44"/>
  <c r="D19" i="44"/>
  <c r="G12" i="44"/>
  <c r="D20" i="44"/>
  <c r="G20" i="44" s="1"/>
  <c r="I20" i="44" s="1"/>
  <c r="C21" i="59" s="1"/>
  <c r="I11" i="59" s="1"/>
  <c r="M19" i="85" s="1"/>
  <c r="D21" i="44"/>
  <c r="G21" i="44" s="1"/>
  <c r="F23" i="44"/>
  <c r="H2" i="44"/>
  <c r="I22" i="44"/>
  <c r="C23" i="59" s="1"/>
  <c r="Y22" i="85" l="1"/>
  <c r="Y24" i="85"/>
  <c r="Y21" i="85"/>
  <c r="Y23" i="85"/>
  <c r="Y19" i="85"/>
  <c r="Y18" i="85"/>
  <c r="Y26" i="85"/>
  <c r="Y25" i="85"/>
  <c r="Y27" i="85"/>
  <c r="Y20" i="85"/>
  <c r="Y10" i="85"/>
  <c r="Y4" i="85"/>
  <c r="Y8" i="85"/>
  <c r="Y6" i="85"/>
  <c r="Y13" i="85"/>
  <c r="Y11" i="85"/>
  <c r="Y9" i="85"/>
  <c r="Y7" i="85"/>
  <c r="Y5" i="85"/>
  <c r="Y12" i="85"/>
  <c r="I17" i="44"/>
  <c r="C18" i="59" s="1"/>
  <c r="G13" i="44"/>
  <c r="I13" i="44" s="1"/>
  <c r="C14" i="59" s="1"/>
  <c r="G3" i="44"/>
  <c r="G19" i="44"/>
  <c r="I19" i="44" s="1"/>
  <c r="C20" i="59" s="1"/>
  <c r="G11" i="44"/>
  <c r="I11" i="44" s="1"/>
  <c r="C12" i="59" s="1"/>
  <c r="F12" i="59" s="1"/>
  <c r="G20" i="85" s="1"/>
  <c r="G7" i="44"/>
  <c r="G15" i="44"/>
  <c r="G5" i="44"/>
  <c r="G10" i="44"/>
  <c r="G18" i="44"/>
  <c r="L6" i="59"/>
  <c r="I14" i="44"/>
  <c r="C15" i="59" s="1"/>
  <c r="I6" i="44"/>
  <c r="C7" i="59" s="1"/>
  <c r="I4" i="44"/>
  <c r="C5" i="59" s="1"/>
  <c r="I12" i="44"/>
  <c r="C13" i="59" s="1"/>
  <c r="R3" i="59"/>
  <c r="H23" i="44"/>
  <c r="I16" i="44"/>
  <c r="C17" i="59" s="1"/>
  <c r="I21" i="44"/>
  <c r="C22" i="59" s="1"/>
  <c r="I12" i="59" s="1"/>
  <c r="M20" i="85" s="1"/>
  <c r="I8" i="44"/>
  <c r="C9" i="59" s="1"/>
  <c r="U21" i="85" l="1"/>
  <c r="U22" i="85"/>
  <c r="U24" i="85"/>
  <c r="U23" i="85"/>
  <c r="U25" i="85"/>
  <c r="U27" i="85"/>
  <c r="U19" i="85"/>
  <c r="U26" i="85"/>
  <c r="U20" i="85"/>
  <c r="U18" i="85"/>
  <c r="U9" i="85"/>
  <c r="U5" i="85"/>
  <c r="U12" i="85"/>
  <c r="U8" i="85"/>
  <c r="U7" i="85"/>
  <c r="U13" i="85"/>
  <c r="U10" i="85"/>
  <c r="U11" i="85"/>
  <c r="U6" i="85"/>
  <c r="U4" i="85"/>
  <c r="I10" i="44"/>
  <c r="C11" i="59" s="1"/>
  <c r="F11" i="59" s="1"/>
  <c r="G19" i="85" s="1"/>
  <c r="I5" i="44"/>
  <c r="C6" i="59" s="1"/>
  <c r="I3" i="44"/>
  <c r="C4" i="59" s="1"/>
  <c r="I5" i="59" s="1"/>
  <c r="M13" i="85" s="1"/>
  <c r="I15" i="44"/>
  <c r="C16" i="59" s="1"/>
  <c r="F9" i="59" s="1"/>
  <c r="G17" i="85" s="1"/>
  <c r="G2" i="44"/>
  <c r="I7" i="44"/>
  <c r="C8" i="59" s="1"/>
  <c r="F8" i="59" s="1"/>
  <c r="G16" i="85" s="1"/>
  <c r="I18" i="44"/>
  <c r="C19" i="59" s="1"/>
  <c r="G23" i="44"/>
  <c r="L7" i="59"/>
  <c r="R7" i="59"/>
  <c r="R6" i="59"/>
  <c r="L13" i="59"/>
  <c r="O7" i="59"/>
  <c r="F10" i="59"/>
  <c r="G18" i="85" s="1"/>
  <c r="L4" i="59"/>
  <c r="I10" i="59"/>
  <c r="M18" i="85" s="1"/>
  <c r="L15" i="59"/>
  <c r="R5" i="59"/>
  <c r="L16" i="59"/>
  <c r="L3" i="59"/>
  <c r="I9" i="59" l="1"/>
  <c r="M17" i="85" s="1"/>
  <c r="I4" i="59"/>
  <c r="M12" i="85" s="1"/>
  <c r="X24" i="85"/>
  <c r="Z24" i="85" s="1"/>
  <c r="X22" i="85"/>
  <c r="Z22" i="85" s="1"/>
  <c r="X25" i="85"/>
  <c r="Z25" i="85" s="1"/>
  <c r="X26" i="85"/>
  <c r="Z26" i="85" s="1"/>
  <c r="X19" i="85"/>
  <c r="Z19" i="85" s="1"/>
  <c r="X27" i="85"/>
  <c r="Z27" i="85" s="1"/>
  <c r="X23" i="85"/>
  <c r="Z23" i="85" s="1"/>
  <c r="X18" i="85"/>
  <c r="Z18" i="85" s="1"/>
  <c r="X21" i="85"/>
  <c r="Z21" i="85" s="1"/>
  <c r="X20" i="85"/>
  <c r="Z20" i="85" s="1"/>
  <c r="X5" i="85"/>
  <c r="Z5" i="85" s="1"/>
  <c r="X10" i="85"/>
  <c r="Z10" i="85" s="1"/>
  <c r="X6" i="85"/>
  <c r="Z6" i="85" s="1"/>
  <c r="X13" i="85"/>
  <c r="Z13" i="85" s="1"/>
  <c r="X9" i="85"/>
  <c r="Z9" i="85" s="1"/>
  <c r="X8" i="85"/>
  <c r="Z8" i="85" s="1"/>
  <c r="X7" i="85"/>
  <c r="Z7" i="85" s="1"/>
  <c r="X12" i="85"/>
  <c r="Z12" i="85" s="1"/>
  <c r="X4" i="85"/>
  <c r="Z4" i="85" s="1"/>
  <c r="X11" i="85"/>
  <c r="Z11" i="85" s="1"/>
  <c r="I2" i="44"/>
  <c r="C3" i="59" s="1"/>
  <c r="F3" i="59" s="1"/>
  <c r="G11" i="85" s="1"/>
  <c r="I3" i="59"/>
  <c r="M11" i="85" s="1"/>
  <c r="L14" i="59"/>
  <c r="F5" i="59"/>
  <c r="G13" i="85" s="1"/>
  <c r="O3" i="59"/>
  <c r="I7" i="59"/>
  <c r="M15" i="85" s="1"/>
  <c r="R4" i="59"/>
  <c r="R9" i="59" s="1"/>
  <c r="I6" i="59"/>
  <c r="M14" i="85" s="1"/>
  <c r="L5" i="59"/>
  <c r="L9" i="59" s="1"/>
  <c r="I8" i="59"/>
  <c r="M16" i="85" s="1"/>
  <c r="O6" i="59"/>
  <c r="F6" i="59"/>
  <c r="G14" i="85" s="1"/>
  <c r="O5" i="59"/>
  <c r="F7" i="59"/>
  <c r="G15" i="85" s="1"/>
  <c r="L12" i="59"/>
  <c r="Z28" i="85" l="1"/>
  <c r="Z14" i="85"/>
  <c r="I23" i="44"/>
  <c r="M23" i="85"/>
  <c r="L18" i="59"/>
  <c r="F4" i="59"/>
  <c r="G12" i="85" s="1"/>
  <c r="O4" i="59"/>
  <c r="O9" i="59" s="1"/>
  <c r="I24" i="59"/>
  <c r="F24" i="59" l="1"/>
  <c r="G23" i="85"/>
</calcChain>
</file>

<file path=xl/sharedStrings.xml><?xml version="1.0" encoding="utf-8"?>
<sst xmlns="http://schemas.openxmlformats.org/spreadsheetml/2006/main" count="437" uniqueCount="104">
  <si>
    <t>Supervisor</t>
  </si>
  <si>
    <t>MEC Name</t>
  </si>
  <si>
    <t>Total Login Time</t>
  </si>
  <si>
    <t>AVG Login Time</t>
  </si>
  <si>
    <t>AVG Net Productive Time</t>
  </si>
  <si>
    <t>Productive Hours % of Login</t>
  </si>
  <si>
    <t>AVG AOT</t>
  </si>
  <si>
    <t>AVG Calls Per Day</t>
  </si>
  <si>
    <t>AVG Appts Scheduled</t>
  </si>
  <si>
    <t>Total Appts Scheduled</t>
  </si>
  <si>
    <t>Total Net Productive Time</t>
  </si>
  <si>
    <t>APH</t>
  </si>
  <si>
    <t>Productivity</t>
  </si>
  <si>
    <t>MEC</t>
  </si>
  <si>
    <t>MEC Points</t>
  </si>
  <si>
    <t>Points</t>
  </si>
  <si>
    <t>QA</t>
  </si>
  <si>
    <t>QA Points</t>
  </si>
  <si>
    <t>APH Points</t>
  </si>
  <si>
    <t>Prod Points</t>
  </si>
  <si>
    <t>Total Points</t>
  </si>
  <si>
    <t>Totals</t>
  </si>
  <si>
    <t>Scoring</t>
  </si>
  <si>
    <t xml:space="preserve">QA </t>
  </si>
  <si>
    <t>3 pts</t>
  </si>
  <si>
    <t>2 pts</t>
  </si>
  <si>
    <t>1 pt</t>
  </si>
  <si>
    <t>90 % - ↑</t>
  </si>
  <si>
    <t>85 % - 89%</t>
  </si>
  <si>
    <t>Total</t>
  </si>
  <si>
    <t>Team # 5</t>
  </si>
  <si>
    <t>Team # 6</t>
  </si>
  <si>
    <t>Team # 7</t>
  </si>
  <si>
    <t>Team # 8</t>
  </si>
  <si>
    <t>Team # 9</t>
  </si>
  <si>
    <t>Team # 1</t>
  </si>
  <si>
    <t>Team # 2</t>
  </si>
  <si>
    <t>Team # 3</t>
  </si>
  <si>
    <t>Team # 4</t>
  </si>
  <si>
    <t xml:space="preserve">90 % - 100 % </t>
  </si>
  <si>
    <t>115 %  - ↑</t>
  </si>
  <si>
    <t>105 % - 114.99 %</t>
  </si>
  <si>
    <t>95 % - 104.99 %</t>
  </si>
  <si>
    <t xml:space="preserve">80 % - 90 % </t>
  </si>
  <si>
    <t>% of ENT</t>
  </si>
  <si>
    <t>Enterprise APH for this Week</t>
  </si>
  <si>
    <t>APH %</t>
  </si>
  <si>
    <t>Ravenclaw</t>
  </si>
  <si>
    <t>Gryffindor</t>
  </si>
  <si>
    <t>First Last</t>
  </si>
  <si>
    <t>Production Start Date</t>
  </si>
  <si>
    <t>TEAM</t>
  </si>
  <si>
    <t>SUPERVISOR</t>
  </si>
  <si>
    <t>No. of Evaluations</t>
  </si>
  <si>
    <t>Scheduled Visits - Member Engagement Scorecard %</t>
  </si>
  <si>
    <t>Declined - Member Engagement Scorecard %</t>
  </si>
  <si>
    <t>Unscheduled - Member Engagement Scorecard %</t>
  </si>
  <si>
    <t>Not Reached - Member Engagement Scorecard % Copy</t>
  </si>
  <si>
    <t>Weighted Evaluation Score</t>
  </si>
  <si>
    <t>Total Calls</t>
  </si>
  <si>
    <t>Appts Per Productive Hour</t>
  </si>
  <si>
    <t>Reached Conversion Rate</t>
  </si>
  <si>
    <t>Cancellation Rate</t>
  </si>
  <si>
    <t>Team Name</t>
  </si>
  <si>
    <t>Week 5</t>
  </si>
  <si>
    <t>Week 4</t>
  </si>
  <si>
    <t>Week 3</t>
  </si>
  <si>
    <t>Week 2</t>
  </si>
  <si>
    <t>Week 1</t>
  </si>
  <si>
    <t>Team Gryffindor</t>
  </si>
  <si>
    <t>Team Ravenclaw</t>
  </si>
  <si>
    <t>Employee #1</t>
  </si>
  <si>
    <t>Employee #2</t>
  </si>
  <si>
    <t>Employee #3</t>
  </si>
  <si>
    <t>Employee #4</t>
  </si>
  <si>
    <t>Employee #5</t>
  </si>
  <si>
    <t>Employee #6</t>
  </si>
  <si>
    <t>Employee #7</t>
  </si>
  <si>
    <t>Employee #8</t>
  </si>
  <si>
    <t>Employee #9</t>
  </si>
  <si>
    <t>Employee #10</t>
  </si>
  <si>
    <t>Employee #11</t>
  </si>
  <si>
    <t>Employee #12</t>
  </si>
  <si>
    <t>Employee #13</t>
  </si>
  <si>
    <t>Employee #14</t>
  </si>
  <si>
    <t>Employee #15</t>
  </si>
  <si>
    <t>Employee #16</t>
  </si>
  <si>
    <t>Employee #17</t>
  </si>
  <si>
    <t>Employee #18</t>
  </si>
  <si>
    <t>Emplyee #1</t>
  </si>
  <si>
    <t>Emplyee #2</t>
  </si>
  <si>
    <t>Emplyee #3</t>
  </si>
  <si>
    <t>Emplyee #4</t>
  </si>
  <si>
    <t>Emplyee #5</t>
  </si>
  <si>
    <t>Emplyee #6</t>
  </si>
  <si>
    <t>Emplyee #7</t>
  </si>
  <si>
    <t>Emplyee #8</t>
  </si>
  <si>
    <t>Emplyee #9</t>
  </si>
  <si>
    <t>Emplyee #10</t>
  </si>
  <si>
    <t>Emplyee #11</t>
  </si>
  <si>
    <t>Emplyee #12</t>
  </si>
  <si>
    <t>Emplyee #13</t>
  </si>
  <si>
    <t>Emplyee #14</t>
  </si>
  <si>
    <t>Team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</si>
</sst>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;\-0.0%;0.0%"/>
    <numFmt numFmtId="165" formatCode="0.0"/>
    <numFmt numFmtId="166" formatCode="0.0%"/>
    <numFmt numFmtId="167" formatCode="m/d/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name val="Calibri"/>
      <family val="2"/>
      <scheme val="minor"/>
    </font>
    <font>
      <sz val="10"/>
      <color rgb="FF000000"/>
      <name val="Roboto"/>
    </font>
    <font>
      <sz val="11"/>
      <name val="Aptos Narrow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.5"/>
      <color rgb="FF000000"/>
      <name val="Calibri"/>
      <family val="2"/>
    </font>
    <font>
      <b/>
      <sz val="9"/>
      <color theme="1"/>
      <name val="Merriweather"/>
    </font>
    <font>
      <sz val="8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B61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50A0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8EA9DB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0" fillId="0" borderId="0"/>
    <xf numFmtId="0" fontId="25" fillId="0" borderId="0"/>
    <xf numFmtId="9" fontId="1" fillId="0" borderId="0" applyFont="0" applyFill="0" applyBorder="0" applyAlignment="0" applyProtection="0"/>
  </cellStyleXfs>
  <cellXfs count="208">
    <xf numFmtId="0" fontId="0" fillId="0" borderId="0" xfId="0"/>
    <xf numFmtId="0" fontId="18" fillId="0" borderId="0" xfId="42"/>
    <xf numFmtId="10" fontId="18" fillId="0" borderId="0" xfId="42" applyNumberFormat="1"/>
    <xf numFmtId="10" fontId="18" fillId="0" borderId="11" xfId="42" applyNumberFormat="1" applyBorder="1"/>
    <xf numFmtId="0" fontId="18" fillId="0" borderId="13" xfId="42" applyBorder="1"/>
    <xf numFmtId="164" fontId="19" fillId="0" borderId="11" xfId="42" applyNumberFormat="1" applyFont="1" applyBorder="1"/>
    <xf numFmtId="165" fontId="19" fillId="0" borderId="11" xfId="42" applyNumberFormat="1" applyFont="1" applyBorder="1"/>
    <xf numFmtId="1" fontId="19" fillId="0" borderId="11" xfId="42" applyNumberFormat="1" applyFont="1" applyBorder="1"/>
    <xf numFmtId="3" fontId="19" fillId="0" borderId="11" xfId="42" applyNumberFormat="1" applyFont="1" applyBorder="1"/>
    <xf numFmtId="4" fontId="19" fillId="0" borderId="11" xfId="42" applyNumberFormat="1" applyFont="1" applyBorder="1"/>
    <xf numFmtId="21" fontId="19" fillId="0" borderId="11" xfId="42" applyNumberFormat="1" applyFont="1" applyBorder="1"/>
    <xf numFmtId="46" fontId="19" fillId="0" borderId="14" xfId="42" applyNumberFormat="1" applyFont="1" applyBorder="1"/>
    <xf numFmtId="46" fontId="18" fillId="0" borderId="11" xfId="42" applyNumberFormat="1" applyBorder="1"/>
    <xf numFmtId="21" fontId="18" fillId="0" borderId="11" xfId="42" applyNumberFormat="1" applyBorder="1"/>
    <xf numFmtId="164" fontId="18" fillId="0" borderId="11" xfId="42" applyNumberFormat="1" applyBorder="1"/>
    <xf numFmtId="165" fontId="18" fillId="0" borderId="11" xfId="42" applyNumberFormat="1" applyBorder="1"/>
    <xf numFmtId="1" fontId="18" fillId="0" borderId="11" xfId="42" applyNumberFormat="1" applyBorder="1"/>
    <xf numFmtId="3" fontId="18" fillId="0" borderId="11" xfId="42" applyNumberFormat="1" applyBorder="1"/>
    <xf numFmtId="4" fontId="18" fillId="0" borderId="11" xfId="42" applyNumberFormat="1" applyBorder="1"/>
    <xf numFmtId="46" fontId="18" fillId="0" borderId="14" xfId="42" applyNumberFormat="1" applyBorder="1"/>
    <xf numFmtId="0" fontId="18" fillId="0" borderId="11" xfId="42" applyBorder="1"/>
    <xf numFmtId="0" fontId="18" fillId="0" borderId="15" xfId="42" applyBorder="1"/>
    <xf numFmtId="0" fontId="18" fillId="0" borderId="12" xfId="42" applyBorder="1"/>
    <xf numFmtId="0" fontId="19" fillId="34" borderId="11" xfId="42" applyFont="1" applyFill="1" applyBorder="1"/>
    <xf numFmtId="164" fontId="19" fillId="34" borderId="11" xfId="42" applyNumberFormat="1" applyFont="1" applyFill="1" applyBorder="1"/>
    <xf numFmtId="165" fontId="19" fillId="34" borderId="11" xfId="42" applyNumberFormat="1" applyFont="1" applyFill="1" applyBorder="1"/>
    <xf numFmtId="1" fontId="19" fillId="34" borderId="11" xfId="42" applyNumberFormat="1" applyFont="1" applyFill="1" applyBorder="1"/>
    <xf numFmtId="3" fontId="19" fillId="34" borderId="11" xfId="42" applyNumberFormat="1" applyFont="1" applyFill="1" applyBorder="1"/>
    <xf numFmtId="4" fontId="19" fillId="34" borderId="11" xfId="42" applyNumberFormat="1" applyFont="1" applyFill="1" applyBorder="1"/>
    <xf numFmtId="0" fontId="19" fillId="34" borderId="14" xfId="42" applyFont="1" applyFill="1" applyBorder="1"/>
    <xf numFmtId="46" fontId="19" fillId="0" borderId="19" xfId="42" applyNumberFormat="1" applyFont="1" applyBorder="1"/>
    <xf numFmtId="0" fontId="18" fillId="34" borderId="20" xfId="42" applyFill="1" applyBorder="1"/>
    <xf numFmtId="0" fontId="18" fillId="0" borderId="17" xfId="42" applyBorder="1"/>
    <xf numFmtId="0" fontId="19" fillId="35" borderId="18" xfId="42" applyFont="1" applyFill="1" applyBorder="1"/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21" fontId="18" fillId="0" borderId="14" xfId="42" applyNumberFormat="1" applyBorder="1"/>
    <xf numFmtId="21" fontId="18" fillId="0" borderId="12" xfId="42" applyNumberFormat="1" applyBorder="1"/>
    <xf numFmtId="10" fontId="18" fillId="0" borderId="12" xfId="42" applyNumberFormat="1" applyBorder="1"/>
    <xf numFmtId="21" fontId="18" fillId="0" borderId="16" xfId="42" applyNumberFormat="1" applyBorder="1"/>
    <xf numFmtId="46" fontId="18" fillId="0" borderId="0" xfId="42" applyNumberFormat="1"/>
    <xf numFmtId="21" fontId="18" fillId="0" borderId="0" xfId="42" applyNumberFormat="1"/>
    <xf numFmtId="0" fontId="0" fillId="0" borderId="0" xfId="0" applyAlignment="1">
      <alignment horizontal="center" vertical="center" wrapText="1"/>
    </xf>
    <xf numFmtId="0" fontId="0" fillId="34" borderId="27" xfId="0" applyFill="1" applyBorder="1" applyAlignment="1">
      <alignment horizontal="center" vertical="center" wrapText="1"/>
    </xf>
    <xf numFmtId="0" fontId="0" fillId="34" borderId="28" xfId="0" applyFill="1" applyBorder="1" applyAlignment="1">
      <alignment horizontal="center" vertical="center" wrapText="1"/>
    </xf>
    <xf numFmtId="0" fontId="16" fillId="39" borderId="21" xfId="0" applyFont="1" applyFill="1" applyBorder="1" applyAlignment="1">
      <alignment wrapText="1"/>
    </xf>
    <xf numFmtId="0" fontId="16" fillId="39" borderId="22" xfId="0" applyFont="1" applyFill="1" applyBorder="1" applyAlignment="1">
      <alignment wrapText="1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8" xfId="0" applyBorder="1"/>
    <xf numFmtId="0" fontId="16" fillId="39" borderId="21" xfId="0" applyFont="1" applyFill="1" applyBorder="1"/>
    <xf numFmtId="0" fontId="16" fillId="39" borderId="23" xfId="0" applyFont="1" applyFill="1" applyBorder="1"/>
    <xf numFmtId="0" fontId="13" fillId="37" borderId="23" xfId="0" applyFont="1" applyFill="1" applyBorder="1"/>
    <xf numFmtId="0" fontId="13" fillId="40" borderId="23" xfId="0" applyFont="1" applyFill="1" applyBorder="1"/>
    <xf numFmtId="0" fontId="0" fillId="0" borderId="29" xfId="0" applyBorder="1"/>
    <xf numFmtId="0" fontId="0" fillId="0" borderId="30" xfId="0" applyBorder="1"/>
    <xf numFmtId="0" fontId="16" fillId="41" borderId="21" xfId="0" applyFont="1" applyFill="1" applyBorder="1"/>
    <xf numFmtId="0" fontId="0" fillId="41" borderId="23" xfId="0" applyFill="1" applyBorder="1"/>
    <xf numFmtId="0" fontId="16" fillId="41" borderId="24" xfId="0" applyFont="1" applyFill="1" applyBorder="1"/>
    <xf numFmtId="0" fontId="16" fillId="41" borderId="31" xfId="0" applyFont="1" applyFill="1" applyBorder="1"/>
    <xf numFmtId="0" fontId="16" fillId="41" borderId="25" xfId="0" applyFont="1" applyFill="1" applyBorder="1"/>
    <xf numFmtId="0" fontId="13" fillId="37" borderId="26" xfId="0" applyFont="1" applyFill="1" applyBorder="1"/>
    <xf numFmtId="0" fontId="13" fillId="40" borderId="26" xfId="0" applyFont="1" applyFill="1" applyBorder="1"/>
    <xf numFmtId="0" fontId="13" fillId="42" borderId="23" xfId="0" applyFont="1" applyFill="1" applyBorder="1"/>
    <xf numFmtId="0" fontId="23" fillId="43" borderId="23" xfId="0" applyFont="1" applyFill="1" applyBorder="1"/>
    <xf numFmtId="0" fontId="13" fillId="42" borderId="26" xfId="0" applyFont="1" applyFill="1" applyBorder="1"/>
    <xf numFmtId="0" fontId="23" fillId="43" borderId="26" xfId="0" applyFont="1" applyFill="1" applyBorder="1"/>
    <xf numFmtId="0" fontId="0" fillId="37" borderId="32" xfId="0" applyFill="1" applyBorder="1"/>
    <xf numFmtId="0" fontId="0" fillId="37" borderId="33" xfId="0" applyFill="1" applyBorder="1"/>
    <xf numFmtId="0" fontId="13" fillId="44" borderId="23" xfId="0" applyFont="1" applyFill="1" applyBorder="1"/>
    <xf numFmtId="0" fontId="13" fillId="44" borderId="26" xfId="0" applyFont="1" applyFill="1" applyBorder="1"/>
    <xf numFmtId="0" fontId="23" fillId="45" borderId="23" xfId="0" applyFont="1" applyFill="1" applyBorder="1"/>
    <xf numFmtId="0" fontId="23" fillId="45" borderId="26" xfId="0" applyFont="1" applyFill="1" applyBorder="1"/>
    <xf numFmtId="0" fontId="23" fillId="46" borderId="23" xfId="0" applyFont="1" applyFill="1" applyBorder="1"/>
    <xf numFmtId="0" fontId="23" fillId="46" borderId="26" xfId="0" applyFont="1" applyFill="1" applyBorder="1"/>
    <xf numFmtId="0" fontId="23" fillId="47" borderId="23" xfId="0" applyFont="1" applyFill="1" applyBorder="1"/>
    <xf numFmtId="0" fontId="23" fillId="47" borderId="26" xfId="0" applyFont="1" applyFill="1" applyBorder="1"/>
    <xf numFmtId="0" fontId="13" fillId="48" borderId="23" xfId="0" applyFont="1" applyFill="1" applyBorder="1"/>
    <xf numFmtId="0" fontId="13" fillId="48" borderId="26" xfId="0" applyFont="1" applyFill="1" applyBorder="1"/>
    <xf numFmtId="0" fontId="0" fillId="34" borderId="0" xfId="0" applyFill="1"/>
    <xf numFmtId="0" fontId="0" fillId="35" borderId="24" xfId="0" applyFill="1" applyBorder="1" applyProtection="1">
      <protection hidden="1"/>
    </xf>
    <xf numFmtId="0" fontId="0" fillId="35" borderId="26" xfId="0" applyFill="1" applyBorder="1" applyProtection="1">
      <protection hidden="1"/>
    </xf>
    <xf numFmtId="0" fontId="0" fillId="36" borderId="25" xfId="0" applyFill="1" applyBorder="1" applyProtection="1">
      <protection hidden="1"/>
    </xf>
    <xf numFmtId="0" fontId="13" fillId="37" borderId="28" xfId="0" applyFont="1" applyFill="1" applyBorder="1" applyProtection="1">
      <protection hidden="1"/>
    </xf>
    <xf numFmtId="0" fontId="13" fillId="40" borderId="28" xfId="0" applyFont="1" applyFill="1" applyBorder="1" applyProtection="1">
      <protection hidden="1"/>
    </xf>
    <xf numFmtId="0" fontId="23" fillId="43" borderId="28" xfId="0" applyFont="1" applyFill="1" applyBorder="1" applyProtection="1">
      <protection hidden="1"/>
    </xf>
    <xf numFmtId="0" fontId="23" fillId="46" borderId="28" xfId="0" applyFont="1" applyFill="1" applyBorder="1" applyProtection="1">
      <protection hidden="1"/>
    </xf>
    <xf numFmtId="0" fontId="13" fillId="44" borderId="28" xfId="0" applyFont="1" applyFill="1" applyBorder="1" applyProtection="1">
      <protection hidden="1"/>
    </xf>
    <xf numFmtId="0" fontId="23" fillId="47" borderId="28" xfId="0" applyFont="1" applyFill="1" applyBorder="1" applyProtection="1">
      <protection hidden="1"/>
    </xf>
    <xf numFmtId="0" fontId="13" fillId="42" borderId="28" xfId="0" applyFont="1" applyFill="1" applyBorder="1" applyProtection="1">
      <protection hidden="1"/>
    </xf>
    <xf numFmtId="0" fontId="23" fillId="45" borderId="28" xfId="0" applyFont="1" applyFill="1" applyBorder="1" applyProtection="1">
      <protection hidden="1"/>
    </xf>
    <xf numFmtId="0" fontId="13" fillId="48" borderId="28" xfId="0" applyFont="1" applyFill="1" applyBorder="1" applyProtection="1">
      <protection hidden="1"/>
    </xf>
    <xf numFmtId="0" fontId="0" fillId="0" borderId="24" xfId="0" applyBorder="1" applyAlignment="1" applyProtection="1">
      <alignment wrapText="1"/>
      <protection hidden="1"/>
    </xf>
    <xf numFmtId="2" fontId="0" fillId="0" borderId="11" xfId="0" applyNumberFormat="1" applyBorder="1" applyAlignment="1" applyProtection="1">
      <alignment wrapText="1"/>
      <protection hidden="1"/>
    </xf>
    <xf numFmtId="0" fontId="0" fillId="38" borderId="11" xfId="0" applyFill="1" applyBorder="1" applyAlignment="1" applyProtection="1">
      <alignment horizontal="center" vertical="center" wrapText="1"/>
      <protection hidden="1"/>
    </xf>
    <xf numFmtId="0" fontId="0" fillId="0" borderId="25" xfId="0" applyBorder="1" applyAlignment="1" applyProtection="1">
      <alignment horizontal="center" vertical="center" wrapText="1"/>
      <protection hidden="1"/>
    </xf>
    <xf numFmtId="0" fontId="0" fillId="36" borderId="24" xfId="0" applyFill="1" applyBorder="1" applyProtection="1">
      <protection locked="0"/>
    </xf>
    <xf numFmtId="0" fontId="13" fillId="40" borderId="34" xfId="0" applyFont="1" applyFill="1" applyBorder="1"/>
    <xf numFmtId="0" fontId="13" fillId="37" borderId="21" xfId="0" applyFont="1" applyFill="1" applyBorder="1" applyProtection="1">
      <protection locked="0"/>
    </xf>
    <xf numFmtId="0" fontId="13" fillId="40" borderId="21" xfId="0" applyFont="1" applyFill="1" applyBorder="1" applyProtection="1">
      <protection locked="0"/>
    </xf>
    <xf numFmtId="0" fontId="13" fillId="42" borderId="21" xfId="0" applyFont="1" applyFill="1" applyBorder="1" applyProtection="1">
      <protection locked="0"/>
    </xf>
    <xf numFmtId="0" fontId="23" fillId="43" borderId="21" xfId="0" applyFont="1" applyFill="1" applyBorder="1" applyProtection="1">
      <protection locked="0"/>
    </xf>
    <xf numFmtId="0" fontId="13" fillId="44" borderId="21" xfId="0" applyFont="1" applyFill="1" applyBorder="1" applyProtection="1">
      <protection locked="0"/>
    </xf>
    <xf numFmtId="0" fontId="23" fillId="45" borderId="21" xfId="0" applyFont="1" applyFill="1" applyBorder="1" applyProtection="1">
      <protection locked="0"/>
    </xf>
    <xf numFmtId="0" fontId="23" fillId="46" borderId="21" xfId="0" applyFont="1" applyFill="1" applyBorder="1" applyProtection="1">
      <protection locked="0"/>
    </xf>
    <xf numFmtId="0" fontId="23" fillId="47" borderId="21" xfId="0" applyFont="1" applyFill="1" applyBorder="1" applyProtection="1">
      <protection locked="0"/>
    </xf>
    <xf numFmtId="0" fontId="13" fillId="48" borderId="21" xfId="0" applyFont="1" applyFill="1" applyBorder="1" applyProtection="1">
      <protection locked="0"/>
    </xf>
    <xf numFmtId="10" fontId="16" fillId="39" borderId="22" xfId="0" applyNumberFormat="1" applyFont="1" applyFill="1" applyBorder="1" applyAlignment="1">
      <alignment wrapText="1"/>
    </xf>
    <xf numFmtId="10" fontId="0" fillId="0" borderId="0" xfId="0" applyNumberFormat="1" applyAlignment="1">
      <alignment wrapText="1"/>
    </xf>
    <xf numFmtId="0" fontId="24" fillId="36" borderId="24" xfId="0" applyFont="1" applyFill="1" applyBorder="1" applyAlignment="1" applyProtection="1">
      <alignment horizontal="left" vertical="center" wrapText="1" indent="1"/>
      <protection locked="0"/>
    </xf>
    <xf numFmtId="0" fontId="16" fillId="49" borderId="0" xfId="0" applyFont="1" applyFill="1"/>
    <xf numFmtId="10" fontId="0" fillId="0" borderId="0" xfId="0" applyNumberFormat="1"/>
    <xf numFmtId="15" fontId="0" fillId="0" borderId="0" xfId="0" applyNumberFormat="1"/>
    <xf numFmtId="0" fontId="0" fillId="35" borderId="25" xfId="0" applyFill="1" applyBorder="1" applyAlignment="1" applyProtection="1">
      <alignment horizontal="center" vertical="center"/>
      <protection hidden="1"/>
    </xf>
    <xf numFmtId="9" fontId="0" fillId="0" borderId="11" xfId="45" applyFont="1" applyBorder="1" applyAlignment="1" applyProtection="1">
      <alignment horizontal="center" wrapText="1"/>
      <protection hidden="1"/>
    </xf>
    <xf numFmtId="10" fontId="0" fillId="0" borderId="11" xfId="0" applyNumberFormat="1" applyBorder="1" applyAlignment="1" applyProtection="1">
      <alignment horizontal="center" vertical="center" wrapText="1"/>
      <protection hidden="1"/>
    </xf>
    <xf numFmtId="2" fontId="16" fillId="39" borderId="22" xfId="0" applyNumberFormat="1" applyFont="1" applyFill="1" applyBorder="1" applyAlignment="1">
      <alignment horizontal="center" wrapText="1"/>
    </xf>
    <xf numFmtId="0" fontId="16" fillId="39" borderId="22" xfId="0" applyFont="1" applyFill="1" applyBorder="1" applyAlignment="1">
      <alignment horizontal="center" wrapText="1"/>
    </xf>
    <xf numFmtId="0" fontId="16" fillId="39" borderId="23" xfId="0" applyFont="1" applyFill="1" applyBorder="1" applyAlignment="1">
      <alignment horizontal="center" wrapText="1"/>
    </xf>
    <xf numFmtId="9" fontId="0" fillId="0" borderId="11" xfId="45" applyFont="1" applyBorder="1" applyAlignment="1" applyProtection="1">
      <alignment horizontal="center" vertical="center" wrapText="1"/>
      <protection hidden="1"/>
    </xf>
    <xf numFmtId="2" fontId="0" fillId="40" borderId="27" xfId="0" applyNumberFormat="1" applyFill="1" applyBorder="1" applyAlignment="1" applyProtection="1">
      <alignment wrapText="1"/>
      <protection locked="0"/>
    </xf>
    <xf numFmtId="0" fontId="0" fillId="37" borderId="0" xfId="0" applyFill="1"/>
    <xf numFmtId="0" fontId="13" fillId="50" borderId="11" xfId="0" applyFont="1" applyFill="1" applyBorder="1"/>
    <xf numFmtId="2" fontId="13" fillId="50" borderId="11" xfId="0" applyNumberFormat="1" applyFont="1" applyFill="1" applyBorder="1"/>
    <xf numFmtId="0" fontId="13" fillId="51" borderId="11" xfId="0" applyFont="1" applyFill="1" applyBorder="1" applyProtection="1">
      <protection locked="0"/>
    </xf>
    <xf numFmtId="0" fontId="13" fillId="50" borderId="21" xfId="0" applyFont="1" applyFill="1" applyBorder="1" applyProtection="1">
      <protection locked="0"/>
    </xf>
    <xf numFmtId="0" fontId="13" fillId="50" borderId="23" xfId="0" applyFont="1" applyFill="1" applyBorder="1"/>
    <xf numFmtId="0" fontId="13" fillId="51" borderId="21" xfId="0" applyFont="1" applyFill="1" applyBorder="1" applyProtection="1">
      <protection locked="0"/>
    </xf>
    <xf numFmtId="0" fontId="13" fillId="51" borderId="23" xfId="0" applyFont="1" applyFill="1" applyBorder="1"/>
    <xf numFmtId="0" fontId="26" fillId="53" borderId="25" xfId="0" applyFont="1" applyFill="1" applyBorder="1" applyAlignment="1" applyProtection="1">
      <alignment horizontal="center" vertical="center"/>
      <protection hidden="1"/>
    </xf>
    <xf numFmtId="0" fontId="26" fillId="54" borderId="25" xfId="0" applyFont="1" applyFill="1" applyBorder="1" applyAlignment="1" applyProtection="1">
      <alignment horizontal="center" vertical="center"/>
      <protection hidden="1"/>
    </xf>
    <xf numFmtId="2" fontId="0" fillId="37" borderId="0" xfId="0" applyNumberFormat="1" applyFill="1"/>
    <xf numFmtId="0" fontId="13" fillId="50" borderId="34" xfId="0" applyFont="1" applyFill="1" applyBorder="1"/>
    <xf numFmtId="0" fontId="27" fillId="50" borderId="28" xfId="0" applyFont="1" applyFill="1" applyBorder="1" applyAlignment="1" applyProtection="1">
      <alignment horizontal="center" vertical="center"/>
      <protection hidden="1"/>
    </xf>
    <xf numFmtId="0" fontId="13" fillId="51" borderId="26" xfId="0" applyFont="1" applyFill="1" applyBorder="1"/>
    <xf numFmtId="0" fontId="27" fillId="51" borderId="28" xfId="0" applyFont="1" applyFill="1" applyBorder="1" applyAlignment="1" applyProtection="1">
      <alignment horizontal="center" vertical="center"/>
      <protection hidden="1"/>
    </xf>
    <xf numFmtId="2" fontId="19" fillId="34" borderId="11" xfId="42" applyNumberFormat="1" applyFont="1" applyFill="1" applyBorder="1"/>
    <xf numFmtId="2" fontId="18" fillId="0" borderId="11" xfId="42" applyNumberFormat="1" applyBorder="1"/>
    <xf numFmtId="2" fontId="18" fillId="0" borderId="12" xfId="42" applyNumberFormat="1" applyBorder="1"/>
    <xf numFmtId="2" fontId="18" fillId="0" borderId="0" xfId="42" applyNumberFormat="1"/>
    <xf numFmtId="0" fontId="25" fillId="0" borderId="42" xfId="44" applyBorder="1"/>
    <xf numFmtId="46" fontId="25" fillId="0" borderId="40" xfId="44" applyNumberFormat="1" applyBorder="1"/>
    <xf numFmtId="21" fontId="25" fillId="0" borderId="40" xfId="44" applyNumberFormat="1" applyBorder="1"/>
    <xf numFmtId="164" fontId="25" fillId="0" borderId="40" xfId="44" applyNumberFormat="1" applyBorder="1"/>
    <xf numFmtId="10" fontId="25" fillId="0" borderId="40" xfId="44" applyNumberFormat="1" applyBorder="1"/>
    <xf numFmtId="1" fontId="25" fillId="0" borderId="40" xfId="44" applyNumberFormat="1" applyBorder="1"/>
    <xf numFmtId="2" fontId="25" fillId="0" borderId="40" xfId="44" applyNumberFormat="1" applyBorder="1"/>
    <xf numFmtId="0" fontId="25" fillId="0" borderId="19" xfId="44" applyBorder="1"/>
    <xf numFmtId="46" fontId="25" fillId="0" borderId="11" xfId="44" applyNumberFormat="1" applyBorder="1"/>
    <xf numFmtId="21" fontId="25" fillId="0" borderId="11" xfId="44" applyNumberFormat="1" applyBorder="1"/>
    <xf numFmtId="164" fontId="25" fillId="0" borderId="11" xfId="44" applyNumberFormat="1" applyBorder="1"/>
    <xf numFmtId="10" fontId="25" fillId="0" borderId="11" xfId="44" applyNumberFormat="1" applyBorder="1"/>
    <xf numFmtId="1" fontId="25" fillId="0" borderId="11" xfId="44" applyNumberFormat="1" applyBorder="1"/>
    <xf numFmtId="2" fontId="25" fillId="0" borderId="11" xfId="44" applyNumberFormat="1" applyBorder="1"/>
    <xf numFmtId="0" fontId="0" fillId="0" borderId="11" xfId="0" applyBorder="1" applyProtection="1">
      <protection locked="0"/>
    </xf>
    <xf numFmtId="0" fontId="0" fillId="35" borderId="28" xfId="0" applyFill="1" applyBorder="1" applyAlignment="1" applyProtection="1">
      <alignment horizontal="center" vertical="center"/>
      <protection hidden="1"/>
    </xf>
    <xf numFmtId="9" fontId="16" fillId="49" borderId="0" xfId="0" applyNumberFormat="1" applyFont="1" applyFill="1"/>
    <xf numFmtId="10" fontId="16" fillId="49" borderId="0" xfId="0" applyNumberFormat="1" applyFont="1" applyFill="1"/>
    <xf numFmtId="0" fontId="19" fillId="33" borderId="11" xfId="42" applyFont="1" applyFill="1" applyBorder="1"/>
    <xf numFmtId="1" fontId="19" fillId="33" borderId="11" xfId="42" applyNumberFormat="1" applyFont="1" applyFill="1" applyBorder="1"/>
    <xf numFmtId="2" fontId="19" fillId="33" borderId="11" xfId="42" applyNumberFormat="1" applyFont="1" applyFill="1" applyBorder="1"/>
    <xf numFmtId="0" fontId="19" fillId="0" borderId="11" xfId="42" applyFont="1" applyBorder="1"/>
    <xf numFmtId="46" fontId="19" fillId="33" borderId="11" xfId="42" applyNumberFormat="1" applyFont="1" applyFill="1" applyBorder="1"/>
    <xf numFmtId="46" fontId="19" fillId="34" borderId="11" xfId="42" applyNumberFormat="1" applyFont="1" applyFill="1" applyBorder="1"/>
    <xf numFmtId="46" fontId="18" fillId="0" borderId="12" xfId="42" applyNumberFormat="1" applyBorder="1"/>
    <xf numFmtId="1" fontId="18" fillId="0" borderId="12" xfId="42" applyNumberFormat="1" applyBorder="1"/>
    <xf numFmtId="1" fontId="18" fillId="0" borderId="0" xfId="42" applyNumberFormat="1"/>
    <xf numFmtId="10" fontId="19" fillId="33" borderId="11" xfId="42" applyNumberFormat="1" applyFont="1" applyFill="1" applyBorder="1"/>
    <xf numFmtId="10" fontId="19" fillId="34" borderId="11" xfId="42" applyNumberFormat="1" applyFont="1" applyFill="1" applyBorder="1"/>
    <xf numFmtId="0" fontId="18" fillId="35" borderId="18" xfId="42" applyFill="1" applyBorder="1"/>
    <xf numFmtId="46" fontId="18" fillId="0" borderId="19" xfId="42" applyNumberFormat="1" applyBorder="1"/>
    <xf numFmtId="0" fontId="0" fillId="53" borderId="24" xfId="0" applyFill="1" applyBorder="1"/>
    <xf numFmtId="0" fontId="0" fillId="54" borderId="24" xfId="0" applyFill="1" applyBorder="1" applyProtection="1">
      <protection hidden="1"/>
    </xf>
    <xf numFmtId="0" fontId="0" fillId="52" borderId="31" xfId="0" applyFill="1" applyBorder="1" applyProtection="1">
      <protection hidden="1"/>
    </xf>
    <xf numFmtId="9" fontId="0" fillId="52" borderId="40" xfId="45" applyFont="1" applyFill="1" applyBorder="1" applyAlignment="1" applyProtection="1">
      <alignment horizontal="center" vertical="center"/>
      <protection hidden="1"/>
    </xf>
    <xf numFmtId="166" fontId="0" fillId="52" borderId="40" xfId="0" applyNumberFormat="1" applyFill="1" applyBorder="1" applyAlignment="1" applyProtection="1">
      <alignment horizontal="center" vertical="center"/>
      <protection hidden="1"/>
    </xf>
    <xf numFmtId="1" fontId="0" fillId="52" borderId="40" xfId="0" applyNumberFormat="1" applyFill="1" applyBorder="1" applyAlignment="1" applyProtection="1">
      <alignment horizontal="center" vertical="center"/>
      <protection hidden="1"/>
    </xf>
    <xf numFmtId="1" fontId="0" fillId="52" borderId="41" xfId="0" applyNumberFormat="1" applyFill="1" applyBorder="1" applyAlignment="1" applyProtection="1">
      <alignment horizontal="center" vertical="center"/>
      <protection hidden="1"/>
    </xf>
    <xf numFmtId="0" fontId="0" fillId="37" borderId="0" xfId="0" applyFill="1" applyProtection="1">
      <protection hidden="1"/>
    </xf>
    <xf numFmtId="0" fontId="13" fillId="51" borderId="11" xfId="0" applyFont="1" applyFill="1" applyBorder="1" applyProtection="1">
      <protection hidden="1"/>
    </xf>
    <xf numFmtId="1" fontId="13" fillId="51" borderId="11" xfId="0" applyNumberFormat="1" applyFont="1" applyFill="1" applyBorder="1" applyProtection="1">
      <protection hidden="1"/>
    </xf>
    <xf numFmtId="0" fontId="13" fillId="50" borderId="11" xfId="0" applyFont="1" applyFill="1" applyBorder="1" applyProtection="1">
      <protection hidden="1"/>
    </xf>
    <xf numFmtId="1" fontId="13" fillId="50" borderId="11" xfId="0" applyNumberFormat="1" applyFont="1" applyFill="1" applyBorder="1" applyProtection="1">
      <protection hidden="1"/>
    </xf>
    <xf numFmtId="0" fontId="28" fillId="55" borderId="10" xfId="0" applyFont="1" applyFill="1" applyBorder="1" applyAlignment="1" applyProtection="1">
      <alignment vertical="center" wrapText="1"/>
      <protection locked="0"/>
    </xf>
    <xf numFmtId="14" fontId="28" fillId="55" borderId="10" xfId="0" applyNumberFormat="1" applyFont="1" applyFill="1" applyBorder="1" applyAlignment="1" applyProtection="1">
      <alignment vertical="center" wrapText="1"/>
      <protection locked="0"/>
    </xf>
    <xf numFmtId="0" fontId="21" fillId="0" borderId="43" xfId="0" applyFont="1" applyBorder="1" applyAlignment="1" applyProtection="1">
      <alignment horizontal="center" vertical="center"/>
      <protection locked="0"/>
    </xf>
    <xf numFmtId="167" fontId="29" fillId="0" borderId="11" xfId="0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3" fillId="50" borderId="39" xfId="0" applyFont="1" applyFill="1" applyBorder="1" applyAlignment="1" applyProtection="1">
      <alignment horizontal="left"/>
      <protection hidden="1"/>
    </xf>
    <xf numFmtId="0" fontId="13" fillId="50" borderId="19" xfId="0" applyFont="1" applyFill="1" applyBorder="1" applyAlignment="1" applyProtection="1">
      <alignment horizontal="left"/>
      <protection hidden="1"/>
    </xf>
    <xf numFmtId="0" fontId="13" fillId="51" borderId="38" xfId="0" applyFont="1" applyFill="1" applyBorder="1" applyAlignment="1" applyProtection="1">
      <alignment horizontal="right"/>
      <protection locked="0"/>
    </xf>
    <xf numFmtId="0" fontId="13" fillId="51" borderId="39" xfId="0" applyFont="1" applyFill="1" applyBorder="1" applyAlignment="1" applyProtection="1">
      <alignment horizontal="right"/>
      <protection locked="0"/>
    </xf>
    <xf numFmtId="0" fontId="13" fillId="51" borderId="19" xfId="0" applyFont="1" applyFill="1" applyBorder="1" applyAlignment="1" applyProtection="1">
      <alignment horizontal="right"/>
      <protection locked="0"/>
    </xf>
    <xf numFmtId="0" fontId="13" fillId="51" borderId="38" xfId="0" applyFont="1" applyFill="1" applyBorder="1" applyAlignment="1" applyProtection="1">
      <alignment horizontal="left"/>
      <protection hidden="1"/>
    </xf>
    <xf numFmtId="0" fontId="13" fillId="51" borderId="39" xfId="0" applyFont="1" applyFill="1" applyBorder="1" applyAlignment="1" applyProtection="1">
      <alignment horizontal="left"/>
      <protection hidden="1"/>
    </xf>
    <xf numFmtId="0" fontId="13" fillId="51" borderId="19" xfId="0" applyFont="1" applyFill="1" applyBorder="1" applyAlignment="1" applyProtection="1">
      <alignment horizontal="left"/>
      <protection hidden="1"/>
    </xf>
    <xf numFmtId="0" fontId="13" fillId="50" borderId="38" xfId="0" applyFont="1" applyFill="1" applyBorder="1" applyAlignment="1" applyProtection="1">
      <alignment horizontal="right"/>
      <protection locked="0"/>
    </xf>
    <xf numFmtId="0" fontId="13" fillId="50" borderId="39" xfId="0" applyFont="1" applyFill="1" applyBorder="1" applyAlignment="1" applyProtection="1">
      <alignment horizontal="right"/>
      <protection locked="0"/>
    </xf>
    <xf numFmtId="0" fontId="0" fillId="34" borderId="35" xfId="0" applyFill="1" applyBorder="1" applyAlignment="1">
      <alignment horizontal="center" wrapText="1"/>
    </xf>
    <xf numFmtId="0" fontId="0" fillId="34" borderId="36" xfId="0" applyFill="1" applyBorder="1" applyAlignment="1">
      <alignment horizontal="center" wrapText="1"/>
    </xf>
    <xf numFmtId="0" fontId="0" fillId="43" borderId="37" xfId="0" applyFill="1" applyBorder="1" applyAlignment="1">
      <alignment horizontal="center" wrapText="1"/>
    </xf>
    <xf numFmtId="0" fontId="0" fillId="43" borderId="36" xfId="0" applyFill="1" applyBorder="1" applyAlignment="1">
      <alignment horizontal="center" wrapText="1"/>
    </xf>
    <xf numFmtId="0" fontId="0" fillId="52" borderId="11" xfId="0" applyFill="1" applyBorder="1"/>
    <xf numFmtId="0" fontId="0" fillId="0" borderId="11" xfId="0" applyBorder="1"/>
    <xf numFmtId="10" fontId="0" fillId="52" borderId="11" xfId="45" applyNumberFormat="1" applyFont="1" applyFill="1" applyBorder="1"/>
    <xf numFmtId="10" fontId="0" fillId="0" borderId="11" xfId="45" applyNumberFormat="1" applyFont="1" applyBorder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7C58F39B-C5C3-4395-B172-866FDDA03AEA}"/>
    <cellStyle name="Normal 3" xfId="43" xr:uid="{C359A7F3-826F-4F13-9FAF-D81B2D0A6FCA}"/>
    <cellStyle name="Normal 4" xfId="44" xr:uid="{5E57548D-2B3F-4E5A-AD0A-69EF05CF735A}"/>
    <cellStyle name="Note" xfId="15" builtinId="10" customBuiltin="1"/>
    <cellStyle name="Output" xfId="10" builtinId="21" customBuiltin="1"/>
    <cellStyle name="Percent" xfId="45" builtinId="5"/>
    <cellStyle name="Title" xfId="1" builtinId="15" customBuiltin="1"/>
    <cellStyle name="Total" xfId="17" builtinId="25" customBuiltin="1"/>
    <cellStyle name="Warning Text" xfId="14" builtinId="11" customBuiltin="1"/>
  </cellStyles>
  <dxfs count="7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D50A0A"/>
      <color rgb="FF0B162A"/>
      <color rgb="FFFFB612"/>
      <color rgb="FFC83803"/>
      <color rgb="FFFB4F14"/>
      <color rgb="FFFC4C02"/>
      <color rgb="FF008E97"/>
      <color rgb="FFFF3C00"/>
      <color rgb="FF311D00"/>
      <color rgb="FF2037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112643</xdr:colOff>
      <xdr:row>1</xdr:row>
      <xdr:rowOff>0</xdr:rowOff>
    </xdr:from>
    <xdr:to>
      <xdr:col>4</xdr:col>
      <xdr:colOff>0</xdr:colOff>
      <xdr:row>23</xdr:row>
      <xdr:rowOff>17961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43" y="185530"/>
          <a:ext cx="1868557" cy="4287079"/>
        </a:xfrm>
        <a:prstGeom prst="rect">
          <a:avLst/>
        </a:prstGeom>
      </xdr:spPr>
    </xdr:pic>
    <xdr:clientData/>
  </xdr:twoCellAnchor>
  <xdr:twoCellAnchor editAs="oneCell">
    <xdr:from>
      <xdr:col>4</xdr:col>
      <xdr:colOff>28576</xdr:colOff>
      <xdr:row>0</xdr:row>
      <xdr:rowOff>149245</xdr:rowOff>
    </xdr:from>
    <xdr:to>
      <xdr:col>12</xdr:col>
      <xdr:colOff>466325</xdr:colOff>
      <xdr:row>8</xdr:row>
      <xdr:rowOff>132024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7396" y="149245"/>
          <a:ext cx="5718892" cy="1459154"/>
        </a:xfrm>
        <a:prstGeom prst="rect">
          <a:avLst/>
        </a:prstGeom>
      </xdr:spPr>
    </xdr:pic>
    <xdr:clientData/>
  </xdr:twoCellAnchor>
  <xdr:twoCellAnchor editAs="oneCell">
    <xdr:from>
      <xdr:col>14</xdr:col>
      <xdr:colOff>4970</xdr:colOff>
      <xdr:row>0</xdr:row>
      <xdr:rowOff>165653</xdr:rowOff>
    </xdr:from>
    <xdr:to>
      <xdr:col>16</xdr:col>
      <xdr:colOff>552246</xdr:colOff>
      <xdr:row>23</xdr:row>
      <xdr:rowOff>17961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63509" y="165653"/>
          <a:ext cx="1802506" cy="430695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</xdr:row>
      <xdr:rowOff>192156</xdr:rowOff>
    </xdr:from>
    <xdr:to>
      <xdr:col>10</xdr:col>
      <xdr:colOff>3174</xdr:colOff>
      <xdr:row>20</xdr:row>
      <xdr:rowOff>17962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41913" y="2060713"/>
          <a:ext cx="1630017" cy="18089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25</xdr:row>
          <xdr:rowOff>31750</xdr:rowOff>
        </xdr:from>
        <xdr:to>
          <xdr:col>7</xdr:col>
          <xdr:colOff>222250</xdr:colOff>
          <xdr:row>27</xdr:row>
          <xdr:rowOff>31750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Teams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28</xdr:row>
          <xdr:rowOff>101600</xdr:rowOff>
        </xdr:from>
        <xdr:to>
          <xdr:col>14</xdr:col>
          <xdr:colOff>381000</xdr:colOff>
          <xdr:row>31</xdr:row>
          <xdr:rowOff>177800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1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Teams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4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12700</xdr:rowOff>
        </xdr:from>
        <xdr:to>
          <xdr:col>1</xdr:col>
          <xdr:colOff>6350</xdr:colOff>
          <xdr:row>2</xdr:row>
          <xdr:rowOff>6350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5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7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3906" name="Button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7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8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A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A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158750</xdr:rowOff>
        </xdr:from>
        <xdr:to>
          <xdr:col>1</xdr:col>
          <xdr:colOff>0</xdr:colOff>
          <xdr:row>1</xdr:row>
          <xdr:rowOff>177800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B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D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5954" name="Button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D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ME0025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177800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E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0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6978" name="Button 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1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ME0025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177800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1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F194-EE4D-4B9B-A8F6-4AD7E8F4B2DD}">
  <sheetPr>
    <tabColor rgb="FF0B162A"/>
  </sheetPr>
  <dimension ref="F2:BJ28"/>
  <sheetViews>
    <sheetView tabSelected="1" zoomScale="130" zoomScaleNormal="130" workbookViewId="0">
      <selection activeCell="D28" sqref="D28"/>
    </sheetView>
  </sheetViews>
  <sheetFormatPr defaultColWidth="9.08984375" defaultRowHeight="14.5" x14ac:dyDescent="0.35"/>
  <cols>
    <col min="1" max="1" width="1.6328125" style="122" customWidth="1"/>
    <col min="2" max="4" width="9.08984375" style="122"/>
    <col min="5" max="5" width="1.6328125" style="122" customWidth="1"/>
    <col min="6" max="6" width="19.36328125" style="122" customWidth="1"/>
    <col min="7" max="7" width="9.08984375" style="122"/>
    <col min="8" max="8" width="1.6328125" style="122" customWidth="1"/>
    <col min="9" max="10" width="11.90625" style="122" customWidth="1"/>
    <col min="11" max="11" width="1.6328125" style="122" customWidth="1"/>
    <col min="12" max="12" width="19.54296875" style="122" customWidth="1"/>
    <col min="13" max="13" width="9.08984375" style="122"/>
    <col min="14" max="14" width="1.6328125" style="122" customWidth="1"/>
    <col min="15" max="17" width="9.08984375" style="122"/>
    <col min="18" max="18" width="1.6328125" style="122" customWidth="1"/>
    <col min="19" max="19" width="20.453125" style="122" bestFit="1" customWidth="1"/>
    <col min="20" max="20" width="9.08984375" style="122"/>
    <col min="21" max="21" width="8.08984375" style="122" bestFit="1" customWidth="1"/>
    <col min="22" max="22" width="11.6328125" style="132" bestFit="1" customWidth="1"/>
    <col min="23" max="23" width="9.6328125" style="122" bestFit="1" customWidth="1"/>
    <col min="24" max="24" width="10.6328125" style="122" bestFit="1" customWidth="1"/>
    <col min="25" max="25" width="11.08984375" style="122" bestFit="1" customWidth="1"/>
    <col min="26" max="26" width="11.453125" style="122" bestFit="1" customWidth="1"/>
    <col min="27" max="27" width="1.6328125" style="122" customWidth="1"/>
    <col min="28" max="28" width="19.36328125" style="122" bestFit="1" customWidth="1"/>
    <col min="29" max="29" width="7.36328125" style="122" bestFit="1" customWidth="1"/>
    <col min="30" max="30" width="4.6328125" style="122" bestFit="1" customWidth="1"/>
    <col min="31" max="31" width="11.6328125" style="122" bestFit="1" customWidth="1"/>
    <col min="32" max="32" width="9.6328125" style="122" bestFit="1" customWidth="1"/>
    <col min="33" max="33" width="10.6328125" style="122" bestFit="1" customWidth="1"/>
    <col min="34" max="34" width="11.08984375" style="122" bestFit="1" customWidth="1"/>
    <col min="35" max="35" width="11.453125" style="122" bestFit="1" customWidth="1"/>
    <col min="36" max="36" width="1.1796875" style="122" customWidth="1"/>
    <col min="37" max="37" width="17.453125" style="122" bestFit="1" customWidth="1"/>
    <col min="38" max="39" width="9.08984375" style="122"/>
    <col min="40" max="40" width="11.36328125" style="122" bestFit="1" customWidth="1"/>
    <col min="41" max="41" width="9.08984375" style="122"/>
    <col min="42" max="42" width="10.54296875" style="122" bestFit="1" customWidth="1"/>
    <col min="43" max="43" width="10.81640625" style="122" bestFit="1" customWidth="1"/>
    <col min="44" max="44" width="11.08984375" style="122" bestFit="1" customWidth="1"/>
    <col min="45" max="45" width="2" style="122" customWidth="1"/>
    <col min="46" max="46" width="17.453125" style="122" bestFit="1" customWidth="1"/>
    <col min="47" max="48" width="9.08984375" style="122"/>
    <col min="49" max="49" width="11.36328125" style="122" bestFit="1" customWidth="1"/>
    <col min="50" max="50" width="9.08984375" style="122"/>
    <col min="51" max="51" width="10.54296875" style="122" bestFit="1" customWidth="1"/>
    <col min="52" max="52" width="10.81640625" style="122" bestFit="1" customWidth="1"/>
    <col min="53" max="53" width="11.08984375" style="122" bestFit="1" customWidth="1"/>
    <col min="54" max="54" width="2.54296875" style="122" customWidth="1"/>
    <col min="55" max="55" width="17.453125" style="122" bestFit="1" customWidth="1"/>
    <col min="56" max="56" width="5.90625" style="122" customWidth="1"/>
    <col min="57" max="57" width="6.6328125" style="122" bestFit="1" customWidth="1"/>
    <col min="58" max="58" width="11.36328125" style="122" bestFit="1" customWidth="1"/>
    <col min="59" max="59" width="9.54296875" style="122" bestFit="1" customWidth="1"/>
    <col min="60" max="60" width="10.54296875" style="122" bestFit="1" customWidth="1"/>
    <col min="61" max="61" width="10.81640625" style="122" bestFit="1" customWidth="1"/>
    <col min="62" max="62" width="11.08984375" style="122" bestFit="1" customWidth="1"/>
    <col min="63" max="16384" width="9.08984375" style="122"/>
  </cols>
  <sheetData>
    <row r="2" spans="6:62" x14ac:dyDescent="0.35">
      <c r="S2" s="198" t="s">
        <v>70</v>
      </c>
      <c r="T2" s="199"/>
      <c r="U2" s="199"/>
      <c r="V2" s="199"/>
      <c r="W2" s="199"/>
      <c r="X2" s="190" t="s">
        <v>68</v>
      </c>
      <c r="Y2" s="190"/>
      <c r="Z2" s="191"/>
      <c r="AB2" s="198" t="s">
        <v>63</v>
      </c>
      <c r="AC2" s="199"/>
      <c r="AD2" s="199"/>
      <c r="AE2" s="199"/>
      <c r="AF2" s="199"/>
      <c r="AG2" s="190" t="s">
        <v>67</v>
      </c>
      <c r="AH2" s="190"/>
      <c r="AI2" s="191"/>
      <c r="AK2" s="198" t="s">
        <v>63</v>
      </c>
      <c r="AL2" s="199"/>
      <c r="AM2" s="199"/>
      <c r="AN2" s="199"/>
      <c r="AO2" s="199"/>
      <c r="AP2" s="190" t="s">
        <v>66</v>
      </c>
      <c r="AQ2" s="190"/>
      <c r="AR2" s="191"/>
      <c r="AT2" s="198" t="s">
        <v>63</v>
      </c>
      <c r="AU2" s="199"/>
      <c r="AV2" s="199"/>
      <c r="AW2" s="199"/>
      <c r="AX2" s="199"/>
      <c r="AY2" s="190" t="s">
        <v>65</v>
      </c>
      <c r="AZ2" s="190"/>
      <c r="BA2" s="191"/>
      <c r="BC2" s="198" t="s">
        <v>63</v>
      </c>
      <c r="BD2" s="199"/>
      <c r="BE2" s="199"/>
      <c r="BF2" s="199"/>
      <c r="BG2" s="199"/>
      <c r="BH2" s="190" t="s">
        <v>64</v>
      </c>
      <c r="BI2" s="190"/>
      <c r="BJ2" s="191"/>
    </row>
    <row r="3" spans="6:62" x14ac:dyDescent="0.35">
      <c r="S3" s="123" t="s">
        <v>1</v>
      </c>
      <c r="T3" s="123" t="s">
        <v>16</v>
      </c>
      <c r="U3" s="123" t="s">
        <v>46</v>
      </c>
      <c r="V3" s="124" t="s">
        <v>12</v>
      </c>
      <c r="W3" s="123" t="s">
        <v>17</v>
      </c>
      <c r="X3" s="123" t="s">
        <v>18</v>
      </c>
      <c r="Y3" s="123" t="s">
        <v>19</v>
      </c>
      <c r="Z3" s="123" t="s">
        <v>20</v>
      </c>
      <c r="AB3" s="123" t="s">
        <v>1</v>
      </c>
      <c r="AC3" s="123" t="s">
        <v>16</v>
      </c>
      <c r="AD3" s="123" t="s">
        <v>46</v>
      </c>
      <c r="AE3" s="124" t="s">
        <v>12</v>
      </c>
      <c r="AF3" s="123" t="s">
        <v>17</v>
      </c>
      <c r="AG3" s="123" t="s">
        <v>18</v>
      </c>
      <c r="AH3" s="123" t="s">
        <v>19</v>
      </c>
      <c r="AI3" s="123" t="s">
        <v>20</v>
      </c>
      <c r="AK3" s="123" t="s">
        <v>1</v>
      </c>
      <c r="AL3" s="123" t="s">
        <v>16</v>
      </c>
      <c r="AM3" s="123" t="s">
        <v>46</v>
      </c>
      <c r="AN3" s="124" t="s">
        <v>12</v>
      </c>
      <c r="AO3" s="123" t="s">
        <v>17</v>
      </c>
      <c r="AP3" s="123" t="s">
        <v>18</v>
      </c>
      <c r="AQ3" s="123" t="s">
        <v>19</v>
      </c>
      <c r="AR3" s="123" t="s">
        <v>20</v>
      </c>
      <c r="AT3" s="123" t="s">
        <v>1</v>
      </c>
      <c r="AU3" s="123" t="s">
        <v>16</v>
      </c>
      <c r="AV3" s="123" t="s">
        <v>46</v>
      </c>
      <c r="AW3" s="124" t="s">
        <v>12</v>
      </c>
      <c r="AX3" s="123" t="s">
        <v>17</v>
      </c>
      <c r="AY3" s="123" t="s">
        <v>18</v>
      </c>
      <c r="AZ3" s="123" t="s">
        <v>19</v>
      </c>
      <c r="BA3" s="123" t="s">
        <v>20</v>
      </c>
      <c r="BC3" s="123" t="s">
        <v>1</v>
      </c>
      <c r="BD3" s="123" t="s">
        <v>16</v>
      </c>
      <c r="BE3" s="123" t="s">
        <v>46</v>
      </c>
      <c r="BF3" s="124" t="s">
        <v>12</v>
      </c>
      <c r="BG3" s="123" t="s">
        <v>17</v>
      </c>
      <c r="BH3" s="123" t="s">
        <v>18</v>
      </c>
      <c r="BI3" s="123" t="s">
        <v>19</v>
      </c>
      <c r="BJ3" s="123" t="s">
        <v>20</v>
      </c>
    </row>
    <row r="4" spans="6:62" x14ac:dyDescent="0.35">
      <c r="S4" s="174" t="str">
        <f>IF(ISBLANK(Teams!$E3),"",Teams!$E3)</f>
        <v>Employee #1</v>
      </c>
      <c r="T4" s="175" t="str">
        <f>IF(ISBLANK(S4),"",_xlfn.XLOOKUP(S4,'Week 1'!$A:$A,'Week 1'!$B:$B))</f>
        <v/>
      </c>
      <c r="U4" s="175">
        <f>IF(ISBLANK(S4),"",_xlfn.XLOOKUP(S4,'Week 1'!$A:$A,'Week 1'!$D:$D))</f>
        <v>1.393846153846154</v>
      </c>
      <c r="V4" s="176">
        <f>IF(ISBLANK(S4),"",_xlfn.XLOOKUP(S4,'Week 1'!$A:$A,'Week 1'!$E:$E))</f>
        <v>0.94</v>
      </c>
      <c r="W4" s="177" t="str">
        <f>IF(ISBLANK(S4),"",_xlfn.XLOOKUP(S4,'Week 1'!$A:$A,'Week 1'!$F:$F))</f>
        <v/>
      </c>
      <c r="X4" s="177">
        <f>IF(ISBLANK(S4),"",_xlfn.XLOOKUP(S4,'Week 1'!$A:$A,'Week 1'!$G:$G))</f>
        <v>3</v>
      </c>
      <c r="Y4" s="177">
        <f>IF(ISBLANK(S4),"",_xlfn.XLOOKUP(S4,'Week 1'!$A:$A,'Week 1'!$H:$H))</f>
        <v>3</v>
      </c>
      <c r="Z4" s="178">
        <f>IF(ISBLANK(S4),"",SUM(W4:Y4))</f>
        <v>6</v>
      </c>
      <c r="AA4" s="179"/>
      <c r="AB4" s="174" t="str">
        <f>IF(ISBLANK(Teams!$E3),"",Teams!$E3)</f>
        <v>Employee #1</v>
      </c>
      <c r="AC4" s="175" t="str">
        <f>IF(ISBLANK(AB4),"",_xlfn.XLOOKUP(AB4,'Week 2'!$A:$A,'Week 2'!$B:$B))</f>
        <v/>
      </c>
      <c r="AD4" s="175" t="str">
        <f>IF(ISBLANK(AB4),"",_xlfn.XLOOKUP(AB4,'Week 2'!$A:$A,'Week 2'!$D:$D))</f>
        <v/>
      </c>
      <c r="AE4" s="176" t="str">
        <f>IF(ISBLANK(AB4),"",_xlfn.XLOOKUP(AB4,'Week 2'!$A:$A,'Week 2'!$E:$E))</f>
        <v/>
      </c>
      <c r="AF4" s="177">
        <f>IF(ISBLANK(AB4),"",_xlfn.XLOOKUP(AB4,'Week 2'!$A:$A,'Week 2'!$F:$F))</f>
        <v>0</v>
      </c>
      <c r="AG4" s="177">
        <f>IF(ISBLANK(AB4),"",_xlfn.XLOOKUP(AB4,'Week 2'!$A:$A,'Week 2'!$G:$G))</f>
        <v>0</v>
      </c>
      <c r="AH4" s="177">
        <f>IF(ISBLANK(AB4),"",_xlfn.XLOOKUP(AB4,'Week 2'!$A:$A,'Week 2'!$H:$H))</f>
        <v>0</v>
      </c>
      <c r="AI4" s="178">
        <f>IF(ISBLANK(AB4),"",SUM(AF4:AH4))</f>
        <v>0</v>
      </c>
      <c r="AJ4" s="179"/>
      <c r="AK4" s="174" t="str">
        <f>IF(ISBLANK(Teams!$E3),"",Teams!$E3)</f>
        <v>Employee #1</v>
      </c>
      <c r="AL4" s="175" t="str">
        <f>IF(ISBLANK(AK4),"",_xlfn.XLOOKUP(AK4,'Week 3'!$A:$A,'Week 3'!$B:$B))</f>
        <v/>
      </c>
      <c r="AM4" s="175" t="str">
        <f>IF(ISBLANK(AK4),"",_xlfn.XLOOKUP(AK4,'Week 3'!$A:$A,'Week 3'!$D:$D))</f>
        <v/>
      </c>
      <c r="AN4" s="176" t="str">
        <f>IF(ISBLANK(AK4),"",_xlfn.XLOOKUP(AK4,'Week 3'!$A:$A,'Week 3'!$E:$E))</f>
        <v/>
      </c>
      <c r="AO4" s="177">
        <f>IF(ISBLANK(AK4),"",_xlfn.XLOOKUP(AK4,'Week 3'!$A:$A,'Week 3'!$F:$F))</f>
        <v>0</v>
      </c>
      <c r="AP4" s="177">
        <f>IF(ISBLANK(AK4),"",_xlfn.XLOOKUP(AK4,'Week 3'!$A:$A,'Week 3'!$G:$G))</f>
        <v>0</v>
      </c>
      <c r="AQ4" s="177">
        <f>IF(ISBLANK(AK4),"",_xlfn.XLOOKUP(AK4,'Week 3'!$A:$A,'Week 3'!$H:$H))</f>
        <v>0</v>
      </c>
      <c r="AR4" s="178">
        <f>IF(ISBLANK(AK4),"",SUM(AO4:AQ4))</f>
        <v>0</v>
      </c>
      <c r="AS4" s="179"/>
      <c r="AT4" s="174" t="str">
        <f>IF(ISBLANK(Teams!$E3),"",Teams!$E3)</f>
        <v>Employee #1</v>
      </c>
      <c r="AU4" s="175" t="str">
        <f>IF(ISBLANK(AT4),"",_xlfn.XLOOKUP(AT4,'Week 4'!$A:$A,'Week 4'!$B:$B))</f>
        <v/>
      </c>
      <c r="AV4" s="175" t="str">
        <f>IF(ISBLANK(AT4),"",_xlfn.XLOOKUP(AT4,'Week 4'!$A:$A,'Week 4'!$D:$D))</f>
        <v/>
      </c>
      <c r="AW4" s="176" t="str">
        <f>IF(ISBLANK(AT4),"",_xlfn.XLOOKUP(AT4,'Week 4'!$A:$A,'Week 4'!$E:$E))</f>
        <v/>
      </c>
      <c r="AX4" s="177">
        <f>IF(ISBLANK(AT4),"",_xlfn.XLOOKUP(AT4,'Week 4'!$A:$A,'Week 4'!$F:$F))</f>
        <v>0</v>
      </c>
      <c r="AY4" s="177">
        <f>IF(ISBLANK(AT4),"",_xlfn.XLOOKUP(AT4,'Week 4'!$A:$A,'Week 4'!$G:$G))</f>
        <v>0</v>
      </c>
      <c r="AZ4" s="177">
        <f>IF(ISBLANK(AT4),"",_xlfn.XLOOKUP(AT4,'Week 4'!$A:$A,'Week 4'!$H:$H))</f>
        <v>0</v>
      </c>
      <c r="BA4" s="178">
        <f>IF(ISBLANK(AT4),"",SUM(AX4:AZ4))</f>
        <v>0</v>
      </c>
      <c r="BB4" s="179"/>
      <c r="BC4" s="174" t="str">
        <f>IF(ISBLANK(Teams!$E3),"",Teams!$E3)</f>
        <v>Employee #1</v>
      </c>
      <c r="BD4" s="175" t="str">
        <f>IF(ISBLANK(BC4),"",_xlfn.XLOOKUP(BC4,'Week 5'!$A:$A,'Week 5'!$B:$B))</f>
        <v/>
      </c>
      <c r="BE4" s="175" t="str">
        <f>IF(ISBLANK(BC4),"",_xlfn.XLOOKUP(BC4,'Week 5'!$A:$A,'Week 5'!$D:$D))</f>
        <v/>
      </c>
      <c r="BF4" s="176" t="str">
        <f>IF(ISBLANK(BC4),"",_xlfn.XLOOKUP(BC4,'Week 5'!$A:$A,'Week 5'!$E:$E))</f>
        <v/>
      </c>
      <c r="BG4" s="177">
        <f>IF(ISBLANK(BC4),"",_xlfn.XLOOKUP(BC4,'Week 5'!$A:$A,'Week 5'!$F:$F))</f>
        <v>0</v>
      </c>
      <c r="BH4" s="177">
        <f>IF(ISBLANK(BC4),"",_xlfn.XLOOKUP(BC4,'Week 5'!$A:$A,'Week 5'!$G:$G))</f>
        <v>0</v>
      </c>
      <c r="BI4" s="177">
        <f>IF(ISBLANK(BC4),"",_xlfn.XLOOKUP(BC4,'Week 5'!$A:$A,'Week 5'!$H:$H))</f>
        <v>0</v>
      </c>
      <c r="BJ4" s="178">
        <f>IF(ISBLANK(BC4),"",SUM(BG4:BI4))</f>
        <v>0</v>
      </c>
    </row>
    <row r="5" spans="6:62" x14ac:dyDescent="0.35">
      <c r="S5" s="174" t="str">
        <f>IF(ISBLANK(Teams!$E4),"",Teams!$E4)</f>
        <v>Employee #2</v>
      </c>
      <c r="T5" s="175" t="str">
        <f>IF(ISBLANK(S5),"",_xlfn.XLOOKUP(S5,'Week 1'!$A:$A,'Week 1'!$B:$B))</f>
        <v/>
      </c>
      <c r="U5" s="175">
        <f>IF(ISBLANK(S5),"",_xlfn.XLOOKUP(S5,'Week 1'!$A:$A,'Week 1'!$D:$D))</f>
        <v>0.84</v>
      </c>
      <c r="V5" s="176">
        <f>IF(ISBLANK(S5),"",_xlfn.XLOOKUP(S5,'Week 1'!$A:$A,'Week 1'!$E:$E))</f>
        <v>0.92400000000000004</v>
      </c>
      <c r="W5" s="177" t="str">
        <f>IF(ISBLANK(S5),"",_xlfn.XLOOKUP(S5,'Week 1'!$A:$A,'Week 1'!$F:$F))</f>
        <v/>
      </c>
      <c r="X5" s="177">
        <f>IF(ISBLANK(S5),"",_xlfn.XLOOKUP(S5,'Week 1'!$A:$A,'Week 1'!$G:$G))</f>
        <v>1</v>
      </c>
      <c r="Y5" s="177">
        <f>IF(ISBLANK(S5),"",_xlfn.XLOOKUP(S5,'Week 1'!$A:$A,'Week 1'!$H:$H))</f>
        <v>3</v>
      </c>
      <c r="Z5" s="178">
        <f t="shared" ref="Z5:Z13" si="0">IF(ISBLANK(S5),"",SUM(W5:Y5))</f>
        <v>4</v>
      </c>
      <c r="AA5" s="179"/>
      <c r="AB5" s="174" t="str">
        <f>IF(ISBLANK(Teams!$E4),"",Teams!$E4)</f>
        <v>Employee #2</v>
      </c>
      <c r="AC5" s="175" t="str">
        <f>IF(ISBLANK(AB5),"",_xlfn.XLOOKUP(AB5,'Week 2'!$A:$A,'Week 2'!$B:$B))</f>
        <v/>
      </c>
      <c r="AD5" s="175" t="str">
        <f>IF(ISBLANK(AB5),"",_xlfn.XLOOKUP(AB5,'Week 2'!$A:$A,'Week 2'!$D:$D))</f>
        <v/>
      </c>
      <c r="AE5" s="176" t="str">
        <f>IF(ISBLANK(AB5),"",_xlfn.XLOOKUP(AB5,'Week 2'!$A:$A,'Week 2'!$E:$E))</f>
        <v/>
      </c>
      <c r="AF5" s="177">
        <f>IF(ISBLANK(AB5),"",_xlfn.XLOOKUP(AB5,'Week 2'!$A:$A,'Week 2'!$F:$F))</f>
        <v>0</v>
      </c>
      <c r="AG5" s="177">
        <f>IF(ISBLANK(AB5),"",_xlfn.XLOOKUP(AB5,'Week 2'!$A:$A,'Week 2'!$G:$G))</f>
        <v>0</v>
      </c>
      <c r="AH5" s="177">
        <f>IF(ISBLANK(AB5),"",_xlfn.XLOOKUP(AB5,'Week 2'!$A:$A,'Week 2'!$H:$H))</f>
        <v>0</v>
      </c>
      <c r="AI5" s="178">
        <f t="shared" ref="AI5:AI13" si="1">IF(ISBLANK(AB5),"",SUM(AF5:AH5))</f>
        <v>0</v>
      </c>
      <c r="AJ5" s="179"/>
      <c r="AK5" s="174" t="str">
        <f>IF(ISBLANK(Teams!$E4),"",Teams!$E4)</f>
        <v>Employee #2</v>
      </c>
      <c r="AL5" s="175" t="str">
        <f>IF(ISBLANK(AK5),"",_xlfn.XLOOKUP(AK5,'Week 3'!$A:$A,'Week 3'!$B:$B))</f>
        <v/>
      </c>
      <c r="AM5" s="175" t="str">
        <f>IF(ISBLANK(AK5),"",_xlfn.XLOOKUP(AK5,'Week 3'!$A:$A,'Week 3'!$D:$D))</f>
        <v/>
      </c>
      <c r="AN5" s="176" t="str">
        <f>IF(ISBLANK(AK5),"",_xlfn.XLOOKUP(AK5,'Week 3'!$A:$A,'Week 3'!$E:$E))</f>
        <v/>
      </c>
      <c r="AO5" s="177">
        <f>IF(ISBLANK(AK5),"",_xlfn.XLOOKUP(AK5,'Week 3'!$A:$A,'Week 3'!$F:$F))</f>
        <v>0</v>
      </c>
      <c r="AP5" s="177">
        <f>IF(ISBLANK(AK5),"",_xlfn.XLOOKUP(AK5,'Week 3'!$A:$A,'Week 3'!$G:$G))</f>
        <v>0</v>
      </c>
      <c r="AQ5" s="177">
        <f>IF(ISBLANK(AK5),"",_xlfn.XLOOKUP(AK5,'Week 3'!$A:$A,'Week 3'!$H:$H))</f>
        <v>0</v>
      </c>
      <c r="AR5" s="178">
        <f t="shared" ref="AR5:AR13" si="2">IF(ISBLANK(AK5),"",SUM(AO5:AQ5))</f>
        <v>0</v>
      </c>
      <c r="AS5" s="179"/>
      <c r="AT5" s="174" t="str">
        <f>IF(ISBLANK(Teams!$E4),"",Teams!$E4)</f>
        <v>Employee #2</v>
      </c>
      <c r="AU5" s="175" t="str">
        <f>IF(ISBLANK(AT5),"",_xlfn.XLOOKUP(AT5,'Week 4'!$A:$A,'Week 4'!$B:$B))</f>
        <v/>
      </c>
      <c r="AV5" s="175" t="str">
        <f>IF(ISBLANK(AT5),"",_xlfn.XLOOKUP(AT5,'Week 4'!$A:$A,'Week 4'!$D:$D))</f>
        <v/>
      </c>
      <c r="AW5" s="176" t="str">
        <f>IF(ISBLANK(AT5),"",_xlfn.XLOOKUP(AT5,'Week 4'!$A:$A,'Week 4'!$E:$E))</f>
        <v/>
      </c>
      <c r="AX5" s="177">
        <f>IF(ISBLANK(AT5),"",_xlfn.XLOOKUP(AT5,'Week 4'!$A:$A,'Week 4'!$F:$F))</f>
        <v>0</v>
      </c>
      <c r="AY5" s="177">
        <f>IF(ISBLANK(AT5),"",_xlfn.XLOOKUP(AT5,'Week 4'!$A:$A,'Week 4'!$G:$G))</f>
        <v>0</v>
      </c>
      <c r="AZ5" s="177">
        <f>IF(ISBLANK(AT5),"",_xlfn.XLOOKUP(AT5,'Week 4'!$A:$A,'Week 4'!$H:$H))</f>
        <v>0</v>
      </c>
      <c r="BA5" s="178">
        <f t="shared" ref="BA5:BA13" si="3">IF(ISBLANK(AT5),"",SUM(AX5:AZ5))</f>
        <v>0</v>
      </c>
      <c r="BB5" s="179"/>
      <c r="BC5" s="174" t="str">
        <f>IF(ISBLANK(Teams!$E4),"",Teams!$E4)</f>
        <v>Employee #2</v>
      </c>
      <c r="BD5" s="175" t="str">
        <f>IF(ISBLANK(BC5),"",_xlfn.XLOOKUP(BC5,'Week 5'!$A:$A,'Week 5'!$B:$B))</f>
        <v/>
      </c>
      <c r="BE5" s="175" t="str">
        <f>IF(ISBLANK(BC5),"",_xlfn.XLOOKUP(BC5,'Week 5'!$A:$A,'Week 5'!$D:$D))</f>
        <v/>
      </c>
      <c r="BF5" s="176" t="str">
        <f>IF(ISBLANK(BC5),"",_xlfn.XLOOKUP(BC5,'Week 5'!$A:$A,'Week 5'!$E:$E))</f>
        <v/>
      </c>
      <c r="BG5" s="177">
        <f>IF(ISBLANK(BC5),"",_xlfn.XLOOKUP(BC5,'Week 5'!$A:$A,'Week 5'!$F:$F))</f>
        <v>0</v>
      </c>
      <c r="BH5" s="177">
        <f>IF(ISBLANK(BC5),"",_xlfn.XLOOKUP(BC5,'Week 5'!$A:$A,'Week 5'!$G:$G))</f>
        <v>0</v>
      </c>
      <c r="BI5" s="177">
        <f>IF(ISBLANK(BC5),"",_xlfn.XLOOKUP(BC5,'Week 5'!$A:$A,'Week 5'!$H:$H))</f>
        <v>0</v>
      </c>
      <c r="BJ5" s="178">
        <f t="shared" ref="BJ5:BJ13" si="4">IF(ISBLANK(BC5),"",SUM(BG5:BI5))</f>
        <v>0</v>
      </c>
    </row>
    <row r="6" spans="6:62" x14ac:dyDescent="0.35">
      <c r="S6" s="174" t="str">
        <f>IF(ISBLANK(Teams!$E5),"",Teams!$E5)</f>
        <v>Employee #3</v>
      </c>
      <c r="T6" s="175" t="str">
        <f>IF(ISBLANK(S6),"",_xlfn.XLOOKUP(S6,'Week 1'!$A:$A,'Week 1'!$B:$B))</f>
        <v/>
      </c>
      <c r="U6" s="175">
        <f>IF(ISBLANK(S6),"",_xlfn.XLOOKUP(S6,'Week 1'!$A:$A,'Week 1'!$D:$D))</f>
        <v>0</v>
      </c>
      <c r="V6" s="176">
        <f>IF(ISBLANK(S6),"",_xlfn.XLOOKUP(S6,'Week 1'!$A:$A,'Week 1'!$E:$E))</f>
        <v>0.87</v>
      </c>
      <c r="W6" s="177" t="str">
        <f>IF(ISBLANK(S6),"",_xlfn.XLOOKUP(S6,'Week 1'!$A:$A,'Week 1'!$F:$F))</f>
        <v/>
      </c>
      <c r="X6" s="177">
        <f>IF(ISBLANK(S6),"",_xlfn.XLOOKUP(S6,'Week 1'!$A:$A,'Week 1'!$G:$G))</f>
        <v>0</v>
      </c>
      <c r="Y6" s="177">
        <f>IF(ISBLANK(S6),"",_xlfn.XLOOKUP(S6,'Week 1'!$A:$A,'Week 1'!$H:$H))</f>
        <v>2</v>
      </c>
      <c r="Z6" s="178">
        <f t="shared" si="0"/>
        <v>2</v>
      </c>
      <c r="AA6" s="179"/>
      <c r="AB6" s="174" t="str">
        <f>IF(ISBLANK(Teams!$E5),"",Teams!$E5)</f>
        <v>Employee #3</v>
      </c>
      <c r="AC6" s="175" t="str">
        <f>IF(ISBLANK(AB6),"",_xlfn.XLOOKUP(AB6,'Week 2'!$A:$A,'Week 2'!$B:$B))</f>
        <v/>
      </c>
      <c r="AD6" s="175" t="str">
        <f>IF(ISBLANK(AB6),"",_xlfn.XLOOKUP(AB6,'Week 2'!$A:$A,'Week 2'!$D:$D))</f>
        <v/>
      </c>
      <c r="AE6" s="176" t="str">
        <f>IF(ISBLANK(AB6),"",_xlfn.XLOOKUP(AB6,'Week 2'!$A:$A,'Week 2'!$E:$E))</f>
        <v/>
      </c>
      <c r="AF6" s="177">
        <f>IF(ISBLANK(AB6),"",_xlfn.XLOOKUP(AB6,'Week 2'!$A:$A,'Week 2'!$F:$F))</f>
        <v>0</v>
      </c>
      <c r="AG6" s="177">
        <f>IF(ISBLANK(AB6),"",_xlfn.XLOOKUP(AB6,'Week 2'!$A:$A,'Week 2'!$G:$G))</f>
        <v>0</v>
      </c>
      <c r="AH6" s="177">
        <f>IF(ISBLANK(AB6),"",_xlfn.XLOOKUP(AB6,'Week 2'!$A:$A,'Week 2'!$H:$H))</f>
        <v>0</v>
      </c>
      <c r="AI6" s="178">
        <f t="shared" si="1"/>
        <v>0</v>
      </c>
      <c r="AJ6" s="179"/>
      <c r="AK6" s="174" t="str">
        <f>IF(ISBLANK(Teams!$E5),"",Teams!$E5)</f>
        <v>Employee #3</v>
      </c>
      <c r="AL6" s="175" t="str">
        <f>IF(ISBLANK(AK6),"",_xlfn.XLOOKUP(AK6,'Week 3'!$A:$A,'Week 3'!$B:$B))</f>
        <v/>
      </c>
      <c r="AM6" s="175" t="str">
        <f>IF(ISBLANK(AK6),"",_xlfn.XLOOKUP(AK6,'Week 3'!$A:$A,'Week 3'!$D:$D))</f>
        <v/>
      </c>
      <c r="AN6" s="176" t="str">
        <f>IF(ISBLANK(AK6),"",_xlfn.XLOOKUP(AK6,'Week 3'!$A:$A,'Week 3'!$E:$E))</f>
        <v/>
      </c>
      <c r="AO6" s="177">
        <f>IF(ISBLANK(AK6),"",_xlfn.XLOOKUP(AK6,'Week 3'!$A:$A,'Week 3'!$F:$F))</f>
        <v>0</v>
      </c>
      <c r="AP6" s="177">
        <f>IF(ISBLANK(AK6),"",_xlfn.XLOOKUP(AK6,'Week 3'!$A:$A,'Week 3'!$G:$G))</f>
        <v>0</v>
      </c>
      <c r="AQ6" s="177">
        <f>IF(ISBLANK(AK6),"",_xlfn.XLOOKUP(AK6,'Week 3'!$A:$A,'Week 3'!$H:$H))</f>
        <v>0</v>
      </c>
      <c r="AR6" s="178">
        <f t="shared" si="2"/>
        <v>0</v>
      </c>
      <c r="AS6" s="179"/>
      <c r="AT6" s="174" t="str">
        <f>IF(ISBLANK(Teams!$E5),"",Teams!$E5)</f>
        <v>Employee #3</v>
      </c>
      <c r="AU6" s="175" t="str">
        <f>IF(ISBLANK(AT6),"",_xlfn.XLOOKUP(AT6,'Week 4'!$A:$A,'Week 4'!$B:$B))</f>
        <v/>
      </c>
      <c r="AV6" s="175" t="str">
        <f>IF(ISBLANK(AT6),"",_xlfn.XLOOKUP(AT6,'Week 4'!$A:$A,'Week 4'!$D:$D))</f>
        <v/>
      </c>
      <c r="AW6" s="176" t="str">
        <f>IF(ISBLANK(AT6),"",_xlfn.XLOOKUP(AT6,'Week 4'!$A:$A,'Week 4'!$E:$E))</f>
        <v/>
      </c>
      <c r="AX6" s="177">
        <f>IF(ISBLANK(AT6),"",_xlfn.XLOOKUP(AT6,'Week 4'!$A:$A,'Week 4'!$F:$F))</f>
        <v>0</v>
      </c>
      <c r="AY6" s="177">
        <f>IF(ISBLANK(AT6),"",_xlfn.XLOOKUP(AT6,'Week 4'!$A:$A,'Week 4'!$G:$G))</f>
        <v>0</v>
      </c>
      <c r="AZ6" s="177">
        <f>IF(ISBLANK(AT6),"",_xlfn.XLOOKUP(AT6,'Week 4'!$A:$A,'Week 4'!$H:$H))</f>
        <v>0</v>
      </c>
      <c r="BA6" s="178">
        <f t="shared" si="3"/>
        <v>0</v>
      </c>
      <c r="BB6" s="179"/>
      <c r="BC6" s="174" t="str">
        <f>IF(ISBLANK(Teams!$E5),"",Teams!$E5)</f>
        <v>Employee #3</v>
      </c>
      <c r="BD6" s="175" t="str">
        <f>IF(ISBLANK(BC6),"",_xlfn.XLOOKUP(BC6,'Week 5'!$A:$A,'Week 5'!$B:$B))</f>
        <v/>
      </c>
      <c r="BE6" s="175" t="str">
        <f>IF(ISBLANK(BC6),"",_xlfn.XLOOKUP(BC6,'Week 5'!$A:$A,'Week 5'!$D:$D))</f>
        <v/>
      </c>
      <c r="BF6" s="176" t="str">
        <f>IF(ISBLANK(BC6),"",_xlfn.XLOOKUP(BC6,'Week 5'!$A:$A,'Week 5'!$E:$E))</f>
        <v/>
      </c>
      <c r="BG6" s="177">
        <f>IF(ISBLANK(BC6),"",_xlfn.XLOOKUP(BC6,'Week 5'!$A:$A,'Week 5'!$F:$F))</f>
        <v>0</v>
      </c>
      <c r="BH6" s="177">
        <f>IF(ISBLANK(BC6),"",_xlfn.XLOOKUP(BC6,'Week 5'!$A:$A,'Week 5'!$G:$G))</f>
        <v>0</v>
      </c>
      <c r="BI6" s="177">
        <f>IF(ISBLANK(BC6),"",_xlfn.XLOOKUP(BC6,'Week 5'!$A:$A,'Week 5'!$H:$H))</f>
        <v>0</v>
      </c>
      <c r="BJ6" s="178">
        <f t="shared" si="4"/>
        <v>0</v>
      </c>
    </row>
    <row r="7" spans="6:62" x14ac:dyDescent="0.35">
      <c r="S7" s="174" t="str">
        <f>IF(ISBLANK(Teams!$E6),"",Teams!$E6)</f>
        <v>Employee #4</v>
      </c>
      <c r="T7" s="175" t="str">
        <f>IF(ISBLANK(S7),"",_xlfn.XLOOKUP(S7,'Week 1'!$A:$A,'Week 1'!$B:$B))</f>
        <v/>
      </c>
      <c r="U7" s="175">
        <f>IF(ISBLANK(S7),"",_xlfn.XLOOKUP(S7,'Week 1'!$A:$A,'Week 1'!$D:$D))</f>
        <v>1.0307692307692309</v>
      </c>
      <c r="V7" s="176">
        <f>IF(ISBLANK(S7),"",_xlfn.XLOOKUP(S7,'Week 1'!$A:$A,'Week 1'!$E:$E))</f>
        <v>0.93700000000000006</v>
      </c>
      <c r="W7" s="177" t="str">
        <f>IF(ISBLANK(S7),"",_xlfn.XLOOKUP(S7,'Week 1'!$A:$A,'Week 1'!$F:$F))</f>
        <v/>
      </c>
      <c r="X7" s="177">
        <f>IF(ISBLANK(S7),"",_xlfn.XLOOKUP(S7,'Week 1'!$A:$A,'Week 1'!$G:$G))</f>
        <v>1</v>
      </c>
      <c r="Y7" s="177">
        <f>IF(ISBLANK(S7),"",_xlfn.XLOOKUP(S7,'Week 1'!$A:$A,'Week 1'!$H:$H))</f>
        <v>3</v>
      </c>
      <c r="Z7" s="178">
        <f t="shared" si="0"/>
        <v>4</v>
      </c>
      <c r="AA7" s="179"/>
      <c r="AB7" s="174" t="str">
        <f>IF(ISBLANK(Teams!$E6),"",Teams!$E6)</f>
        <v>Employee #4</v>
      </c>
      <c r="AC7" s="175" t="str">
        <f>IF(ISBLANK(AB7),"",_xlfn.XLOOKUP(AB7,'Week 2'!$A:$A,'Week 2'!$B:$B))</f>
        <v/>
      </c>
      <c r="AD7" s="175" t="str">
        <f>IF(ISBLANK(AB7),"",_xlfn.XLOOKUP(AB7,'Week 2'!$A:$A,'Week 2'!$D:$D))</f>
        <v/>
      </c>
      <c r="AE7" s="176" t="str">
        <f>IF(ISBLANK(AB7),"",_xlfn.XLOOKUP(AB7,'Week 2'!$A:$A,'Week 2'!$E:$E))</f>
        <v/>
      </c>
      <c r="AF7" s="177">
        <f>IF(ISBLANK(AB7),"",_xlfn.XLOOKUP(AB7,'Week 2'!$A:$A,'Week 2'!$F:$F))</f>
        <v>0</v>
      </c>
      <c r="AG7" s="177">
        <f>IF(ISBLANK(AB7),"",_xlfn.XLOOKUP(AB7,'Week 2'!$A:$A,'Week 2'!$G:$G))</f>
        <v>0</v>
      </c>
      <c r="AH7" s="177">
        <f>IF(ISBLANK(AB7),"",_xlfn.XLOOKUP(AB7,'Week 2'!$A:$A,'Week 2'!$H:$H))</f>
        <v>0</v>
      </c>
      <c r="AI7" s="178">
        <f t="shared" si="1"/>
        <v>0</v>
      </c>
      <c r="AJ7" s="179"/>
      <c r="AK7" s="174" t="str">
        <f>IF(ISBLANK(Teams!$E6),"",Teams!$E6)</f>
        <v>Employee #4</v>
      </c>
      <c r="AL7" s="175" t="str">
        <f>IF(ISBLANK(AK7),"",_xlfn.XLOOKUP(AK7,'Week 3'!$A:$A,'Week 3'!$B:$B))</f>
        <v/>
      </c>
      <c r="AM7" s="175" t="str">
        <f>IF(ISBLANK(AK7),"",_xlfn.XLOOKUP(AK7,'Week 3'!$A:$A,'Week 3'!$D:$D))</f>
        <v/>
      </c>
      <c r="AN7" s="176" t="str">
        <f>IF(ISBLANK(AK7),"",_xlfn.XLOOKUP(AK7,'Week 3'!$A:$A,'Week 3'!$E:$E))</f>
        <v/>
      </c>
      <c r="AO7" s="177">
        <f>IF(ISBLANK(AK7),"",_xlfn.XLOOKUP(AK7,'Week 3'!$A:$A,'Week 3'!$F:$F))</f>
        <v>0</v>
      </c>
      <c r="AP7" s="177">
        <f>IF(ISBLANK(AK7),"",_xlfn.XLOOKUP(AK7,'Week 3'!$A:$A,'Week 3'!$G:$G))</f>
        <v>0</v>
      </c>
      <c r="AQ7" s="177">
        <f>IF(ISBLANK(AK7),"",_xlfn.XLOOKUP(AK7,'Week 3'!$A:$A,'Week 3'!$H:$H))</f>
        <v>0</v>
      </c>
      <c r="AR7" s="178">
        <f t="shared" si="2"/>
        <v>0</v>
      </c>
      <c r="AS7" s="179"/>
      <c r="AT7" s="174" t="str">
        <f>IF(ISBLANK(Teams!$E6),"",Teams!$E6)</f>
        <v>Employee #4</v>
      </c>
      <c r="AU7" s="175" t="str">
        <f>IF(ISBLANK(AT7),"",_xlfn.XLOOKUP(AT7,'Week 4'!$A:$A,'Week 4'!$B:$B))</f>
        <v/>
      </c>
      <c r="AV7" s="175" t="str">
        <f>IF(ISBLANK(AT7),"",_xlfn.XLOOKUP(AT7,'Week 4'!$A:$A,'Week 4'!$D:$D))</f>
        <v/>
      </c>
      <c r="AW7" s="176" t="str">
        <f>IF(ISBLANK(AT7),"",_xlfn.XLOOKUP(AT7,'Week 4'!$A:$A,'Week 4'!$E:$E))</f>
        <v/>
      </c>
      <c r="AX7" s="177">
        <f>IF(ISBLANK(AT7),"",_xlfn.XLOOKUP(AT7,'Week 4'!$A:$A,'Week 4'!$F:$F))</f>
        <v>0</v>
      </c>
      <c r="AY7" s="177">
        <f>IF(ISBLANK(AT7),"",_xlfn.XLOOKUP(AT7,'Week 4'!$A:$A,'Week 4'!$G:$G))</f>
        <v>0</v>
      </c>
      <c r="AZ7" s="177">
        <f>IF(ISBLANK(AT7),"",_xlfn.XLOOKUP(AT7,'Week 4'!$A:$A,'Week 4'!$H:$H))</f>
        <v>0</v>
      </c>
      <c r="BA7" s="178">
        <f t="shared" si="3"/>
        <v>0</v>
      </c>
      <c r="BB7" s="179"/>
      <c r="BC7" s="174" t="str">
        <f>IF(ISBLANK(Teams!$E6),"",Teams!$E6)</f>
        <v>Employee #4</v>
      </c>
      <c r="BD7" s="175" t="str">
        <f>IF(ISBLANK(BC7),"",_xlfn.XLOOKUP(BC7,'Week 5'!$A:$A,'Week 5'!$B:$B))</f>
        <v/>
      </c>
      <c r="BE7" s="175" t="str">
        <f>IF(ISBLANK(BC7),"",_xlfn.XLOOKUP(BC7,'Week 5'!$A:$A,'Week 5'!$D:$D))</f>
        <v/>
      </c>
      <c r="BF7" s="176" t="str">
        <f>IF(ISBLANK(BC7),"",_xlfn.XLOOKUP(BC7,'Week 5'!$A:$A,'Week 5'!$E:$E))</f>
        <v/>
      </c>
      <c r="BG7" s="177">
        <f>IF(ISBLANK(BC7),"",_xlfn.XLOOKUP(BC7,'Week 5'!$A:$A,'Week 5'!$F:$F))</f>
        <v>0</v>
      </c>
      <c r="BH7" s="177">
        <f>IF(ISBLANK(BC7),"",_xlfn.XLOOKUP(BC7,'Week 5'!$A:$A,'Week 5'!$G:$G))</f>
        <v>0</v>
      </c>
      <c r="BI7" s="177">
        <f>IF(ISBLANK(BC7),"",_xlfn.XLOOKUP(BC7,'Week 5'!$A:$A,'Week 5'!$H:$H))</f>
        <v>0</v>
      </c>
      <c r="BJ7" s="178">
        <f t="shared" si="4"/>
        <v>0</v>
      </c>
    </row>
    <row r="8" spans="6:62" x14ac:dyDescent="0.35">
      <c r="S8" s="174" t="str">
        <f>IF(ISBLANK(Teams!$E7),"",Teams!$E7)</f>
        <v>Employee #5</v>
      </c>
      <c r="T8" s="175" t="str">
        <f>IF(ISBLANK(S8),"",_xlfn.XLOOKUP(S8,'Week 1'!$A:$A,'Week 1'!$B:$B))</f>
        <v/>
      </c>
      <c r="U8" s="175">
        <f>IF(ISBLANK(S8),"",_xlfn.XLOOKUP(S8,'Week 1'!$A:$A,'Week 1'!$D:$D))</f>
        <v>0.88923076923076927</v>
      </c>
      <c r="V8" s="176">
        <f>IF(ISBLANK(S8),"",_xlfn.XLOOKUP(S8,'Week 1'!$A:$A,'Week 1'!$E:$E))</f>
        <v>0.92200000000000004</v>
      </c>
      <c r="W8" s="177" t="str">
        <f>IF(ISBLANK(S8),"",_xlfn.XLOOKUP(S8,'Week 1'!$A:$A,'Week 1'!$F:$F))</f>
        <v/>
      </c>
      <c r="X8" s="177">
        <f>IF(ISBLANK(S8),"",_xlfn.XLOOKUP(S8,'Week 1'!$A:$A,'Week 1'!$G:$G))</f>
        <v>1</v>
      </c>
      <c r="Y8" s="177">
        <f>IF(ISBLANK(S8),"",_xlfn.XLOOKUP(S8,'Week 1'!$A:$A,'Week 1'!$H:$H))</f>
        <v>3</v>
      </c>
      <c r="Z8" s="178">
        <f t="shared" si="0"/>
        <v>4</v>
      </c>
      <c r="AA8" s="179"/>
      <c r="AB8" s="174" t="str">
        <f>IF(ISBLANK(Teams!$E7),"",Teams!$E7)</f>
        <v>Employee #5</v>
      </c>
      <c r="AC8" s="175" t="str">
        <f>IF(ISBLANK(AB8),"",_xlfn.XLOOKUP(AB8,'Week 2'!$A:$A,'Week 2'!$B:$B))</f>
        <v/>
      </c>
      <c r="AD8" s="175" t="str">
        <f>IF(ISBLANK(AB8),"",_xlfn.XLOOKUP(AB8,'Week 2'!$A:$A,'Week 2'!$D:$D))</f>
        <v/>
      </c>
      <c r="AE8" s="176" t="str">
        <f>IF(ISBLANK(AB8),"",_xlfn.XLOOKUP(AB8,'Week 2'!$A:$A,'Week 2'!$E:$E))</f>
        <v/>
      </c>
      <c r="AF8" s="177">
        <f>IF(ISBLANK(AB8),"",_xlfn.XLOOKUP(AB8,'Week 2'!$A:$A,'Week 2'!$F:$F))</f>
        <v>0</v>
      </c>
      <c r="AG8" s="177">
        <f>IF(ISBLANK(AB8),"",_xlfn.XLOOKUP(AB8,'Week 2'!$A:$A,'Week 2'!$G:$G))</f>
        <v>0</v>
      </c>
      <c r="AH8" s="177">
        <f>IF(ISBLANK(AB8),"",_xlfn.XLOOKUP(AB8,'Week 2'!$A:$A,'Week 2'!$H:$H))</f>
        <v>0</v>
      </c>
      <c r="AI8" s="178">
        <f t="shared" si="1"/>
        <v>0</v>
      </c>
      <c r="AJ8" s="179"/>
      <c r="AK8" s="174" t="str">
        <f>IF(ISBLANK(Teams!$E7),"",Teams!$E7)</f>
        <v>Employee #5</v>
      </c>
      <c r="AL8" s="175" t="str">
        <f>IF(ISBLANK(AK8),"",_xlfn.XLOOKUP(AK8,'Week 3'!$A:$A,'Week 3'!$B:$B))</f>
        <v/>
      </c>
      <c r="AM8" s="175" t="str">
        <f>IF(ISBLANK(AK8),"",_xlfn.XLOOKUP(AK8,'Week 3'!$A:$A,'Week 3'!$D:$D))</f>
        <v/>
      </c>
      <c r="AN8" s="176" t="str">
        <f>IF(ISBLANK(AK8),"",_xlfn.XLOOKUP(AK8,'Week 3'!$A:$A,'Week 3'!$E:$E))</f>
        <v/>
      </c>
      <c r="AO8" s="177">
        <f>IF(ISBLANK(AK8),"",_xlfn.XLOOKUP(AK8,'Week 3'!$A:$A,'Week 3'!$F:$F))</f>
        <v>0</v>
      </c>
      <c r="AP8" s="177">
        <f>IF(ISBLANK(AK8),"",_xlfn.XLOOKUP(AK8,'Week 3'!$A:$A,'Week 3'!$G:$G))</f>
        <v>0</v>
      </c>
      <c r="AQ8" s="177">
        <f>IF(ISBLANK(AK8),"",_xlfn.XLOOKUP(AK8,'Week 3'!$A:$A,'Week 3'!$H:$H))</f>
        <v>0</v>
      </c>
      <c r="AR8" s="178">
        <f t="shared" si="2"/>
        <v>0</v>
      </c>
      <c r="AS8" s="179"/>
      <c r="AT8" s="174" t="str">
        <f>IF(ISBLANK(Teams!$E7),"",Teams!$E7)</f>
        <v>Employee #5</v>
      </c>
      <c r="AU8" s="175" t="str">
        <f>IF(ISBLANK(AT8),"",_xlfn.XLOOKUP(AT8,'Week 4'!$A:$A,'Week 4'!$B:$B))</f>
        <v/>
      </c>
      <c r="AV8" s="175" t="str">
        <f>IF(ISBLANK(AT8),"",_xlfn.XLOOKUP(AT8,'Week 4'!$A:$A,'Week 4'!$D:$D))</f>
        <v/>
      </c>
      <c r="AW8" s="176" t="str">
        <f>IF(ISBLANK(AT8),"",_xlfn.XLOOKUP(AT8,'Week 4'!$A:$A,'Week 4'!$E:$E))</f>
        <v/>
      </c>
      <c r="AX8" s="177">
        <f>IF(ISBLANK(AT8),"",_xlfn.XLOOKUP(AT8,'Week 4'!$A:$A,'Week 4'!$F:$F))</f>
        <v>0</v>
      </c>
      <c r="AY8" s="177">
        <f>IF(ISBLANK(AT8),"",_xlfn.XLOOKUP(AT8,'Week 4'!$A:$A,'Week 4'!$G:$G))</f>
        <v>0</v>
      </c>
      <c r="AZ8" s="177">
        <f>IF(ISBLANK(AT8),"",_xlfn.XLOOKUP(AT8,'Week 4'!$A:$A,'Week 4'!$H:$H))</f>
        <v>0</v>
      </c>
      <c r="BA8" s="178">
        <f t="shared" si="3"/>
        <v>0</v>
      </c>
      <c r="BB8" s="179"/>
      <c r="BC8" s="174" t="str">
        <f>IF(ISBLANK(Teams!$E7),"",Teams!$E7)</f>
        <v>Employee #5</v>
      </c>
      <c r="BD8" s="175" t="str">
        <f>IF(ISBLANK(BC8),"",_xlfn.XLOOKUP(BC8,'Week 5'!$A:$A,'Week 5'!$B:$B))</f>
        <v/>
      </c>
      <c r="BE8" s="175" t="str">
        <f>IF(ISBLANK(BC8),"",_xlfn.XLOOKUP(BC8,'Week 5'!$A:$A,'Week 5'!$D:$D))</f>
        <v/>
      </c>
      <c r="BF8" s="176" t="str">
        <f>IF(ISBLANK(BC8),"",_xlfn.XLOOKUP(BC8,'Week 5'!$A:$A,'Week 5'!$E:$E))</f>
        <v/>
      </c>
      <c r="BG8" s="177">
        <f>IF(ISBLANK(BC8),"",_xlfn.XLOOKUP(BC8,'Week 5'!$A:$A,'Week 5'!$F:$F))</f>
        <v>0</v>
      </c>
      <c r="BH8" s="177">
        <f>IF(ISBLANK(BC8),"",_xlfn.XLOOKUP(BC8,'Week 5'!$A:$A,'Week 5'!$G:$G))</f>
        <v>0</v>
      </c>
      <c r="BI8" s="177">
        <f>IF(ISBLANK(BC8),"",_xlfn.XLOOKUP(BC8,'Week 5'!$A:$A,'Week 5'!$H:$H))</f>
        <v>0</v>
      </c>
      <c r="BJ8" s="178">
        <f t="shared" si="4"/>
        <v>0</v>
      </c>
    </row>
    <row r="9" spans="6:62" ht="15" thickBot="1" x14ac:dyDescent="0.4">
      <c r="S9" s="174" t="str">
        <f>IF(ISBLANK(Teams!$E8),"",Teams!$E8)</f>
        <v>Employee #6</v>
      </c>
      <c r="T9" s="175" t="str">
        <f>IF(ISBLANK(S9),"",_xlfn.XLOOKUP(S9,'Week 1'!$A:$A,'Week 1'!$B:$B))</f>
        <v/>
      </c>
      <c r="U9" s="175">
        <f>IF(ISBLANK(S9),"",_xlfn.XLOOKUP(S9,'Week 1'!$A:$A,'Week 1'!$D:$D))</f>
        <v>0.8</v>
      </c>
      <c r="V9" s="176">
        <f>IF(ISBLANK(S9),"",_xlfn.XLOOKUP(S9,'Week 1'!$A:$A,'Week 1'!$E:$E))</f>
        <v>0.93899999999999995</v>
      </c>
      <c r="W9" s="177" t="str">
        <f>IF(ISBLANK(S9),"",_xlfn.XLOOKUP(S9,'Week 1'!$A:$A,'Week 1'!$F:$F))</f>
        <v/>
      </c>
      <c r="X9" s="177">
        <f>IF(ISBLANK(S9),"",_xlfn.XLOOKUP(S9,'Week 1'!$A:$A,'Week 1'!$G:$G))</f>
        <v>1</v>
      </c>
      <c r="Y9" s="177">
        <f>IF(ISBLANK(S9),"",_xlfn.XLOOKUP(S9,'Week 1'!$A:$A,'Week 1'!$H:$H))</f>
        <v>3</v>
      </c>
      <c r="Z9" s="178">
        <f t="shared" si="0"/>
        <v>4</v>
      </c>
      <c r="AA9" s="179"/>
      <c r="AB9" s="174" t="str">
        <f>IF(ISBLANK(Teams!$E8),"",Teams!$E8)</f>
        <v>Employee #6</v>
      </c>
      <c r="AC9" s="175" t="str">
        <f>IF(ISBLANK(AB9),"",_xlfn.XLOOKUP(AB9,'Week 2'!$A:$A,'Week 2'!$B:$B))</f>
        <v/>
      </c>
      <c r="AD9" s="175" t="str">
        <f>IF(ISBLANK(AB9),"",_xlfn.XLOOKUP(AB9,'Week 2'!$A:$A,'Week 2'!$D:$D))</f>
        <v/>
      </c>
      <c r="AE9" s="176" t="str">
        <f>IF(ISBLANK(AB9),"",_xlfn.XLOOKUP(AB9,'Week 2'!$A:$A,'Week 2'!$E:$E))</f>
        <v/>
      </c>
      <c r="AF9" s="177">
        <f>IF(ISBLANK(AB9),"",_xlfn.XLOOKUP(AB9,'Week 2'!$A:$A,'Week 2'!$F:$F))</f>
        <v>0</v>
      </c>
      <c r="AG9" s="177">
        <f>IF(ISBLANK(AB9),"",_xlfn.XLOOKUP(AB9,'Week 2'!$A:$A,'Week 2'!$G:$G))</f>
        <v>0</v>
      </c>
      <c r="AH9" s="177">
        <f>IF(ISBLANK(AB9),"",_xlfn.XLOOKUP(AB9,'Week 2'!$A:$A,'Week 2'!$H:$H))</f>
        <v>0</v>
      </c>
      <c r="AI9" s="178">
        <f t="shared" si="1"/>
        <v>0</v>
      </c>
      <c r="AJ9" s="179"/>
      <c r="AK9" s="174" t="str">
        <f>IF(ISBLANK(Teams!$E8),"",Teams!$E8)</f>
        <v>Employee #6</v>
      </c>
      <c r="AL9" s="175" t="str">
        <f>IF(ISBLANK(AK9),"",_xlfn.XLOOKUP(AK9,'Week 3'!$A:$A,'Week 3'!$B:$B))</f>
        <v/>
      </c>
      <c r="AM9" s="175" t="str">
        <f>IF(ISBLANK(AK9),"",_xlfn.XLOOKUP(AK9,'Week 3'!$A:$A,'Week 3'!$D:$D))</f>
        <v/>
      </c>
      <c r="AN9" s="176" t="str">
        <f>IF(ISBLANK(AK9),"",_xlfn.XLOOKUP(AK9,'Week 3'!$A:$A,'Week 3'!$E:$E))</f>
        <v/>
      </c>
      <c r="AO9" s="177">
        <f>IF(ISBLANK(AK9),"",_xlfn.XLOOKUP(AK9,'Week 3'!$A:$A,'Week 3'!$F:$F))</f>
        <v>0</v>
      </c>
      <c r="AP9" s="177">
        <f>IF(ISBLANK(AK9),"",_xlfn.XLOOKUP(AK9,'Week 3'!$A:$A,'Week 3'!$G:$G))</f>
        <v>0</v>
      </c>
      <c r="AQ9" s="177">
        <f>IF(ISBLANK(AK9),"",_xlfn.XLOOKUP(AK9,'Week 3'!$A:$A,'Week 3'!$H:$H))</f>
        <v>0</v>
      </c>
      <c r="AR9" s="178">
        <f t="shared" si="2"/>
        <v>0</v>
      </c>
      <c r="AS9" s="179"/>
      <c r="AT9" s="174" t="str">
        <f>IF(ISBLANK(Teams!$E8),"",Teams!$E8)</f>
        <v>Employee #6</v>
      </c>
      <c r="AU9" s="175" t="str">
        <f>IF(ISBLANK(AT9),"",_xlfn.XLOOKUP(AT9,'Week 4'!$A:$A,'Week 4'!$B:$B))</f>
        <v/>
      </c>
      <c r="AV9" s="175" t="str">
        <f>IF(ISBLANK(AT9),"",_xlfn.XLOOKUP(AT9,'Week 4'!$A:$A,'Week 4'!$D:$D))</f>
        <v/>
      </c>
      <c r="AW9" s="176" t="str">
        <f>IF(ISBLANK(AT9),"",_xlfn.XLOOKUP(AT9,'Week 4'!$A:$A,'Week 4'!$E:$E))</f>
        <v/>
      </c>
      <c r="AX9" s="177">
        <f>IF(ISBLANK(AT9),"",_xlfn.XLOOKUP(AT9,'Week 4'!$A:$A,'Week 4'!$F:$F))</f>
        <v>0</v>
      </c>
      <c r="AY9" s="177">
        <f>IF(ISBLANK(AT9),"",_xlfn.XLOOKUP(AT9,'Week 4'!$A:$A,'Week 4'!$G:$G))</f>
        <v>0</v>
      </c>
      <c r="AZ9" s="177">
        <f>IF(ISBLANK(AT9),"",_xlfn.XLOOKUP(AT9,'Week 4'!$A:$A,'Week 4'!$H:$H))</f>
        <v>0</v>
      </c>
      <c r="BA9" s="178">
        <f t="shared" si="3"/>
        <v>0</v>
      </c>
      <c r="BB9" s="179"/>
      <c r="BC9" s="174" t="str">
        <f>IF(ISBLANK(Teams!$E8),"",Teams!$E8)</f>
        <v>Employee #6</v>
      </c>
      <c r="BD9" s="175" t="str">
        <f>IF(ISBLANK(BC9),"",_xlfn.XLOOKUP(BC9,'Week 5'!$A:$A,'Week 5'!$B:$B))</f>
        <v/>
      </c>
      <c r="BE9" s="175" t="str">
        <f>IF(ISBLANK(BC9),"",_xlfn.XLOOKUP(BC9,'Week 5'!$A:$A,'Week 5'!$D:$D))</f>
        <v/>
      </c>
      <c r="BF9" s="176" t="str">
        <f>IF(ISBLANK(BC9),"",_xlfn.XLOOKUP(BC9,'Week 5'!$A:$A,'Week 5'!$E:$E))</f>
        <v/>
      </c>
      <c r="BG9" s="177">
        <f>IF(ISBLANK(BC9),"",_xlfn.XLOOKUP(BC9,'Week 5'!$A:$A,'Week 5'!$F:$F))</f>
        <v>0</v>
      </c>
      <c r="BH9" s="177">
        <f>IF(ISBLANK(BC9),"",_xlfn.XLOOKUP(BC9,'Week 5'!$A:$A,'Week 5'!$G:$G))</f>
        <v>0</v>
      </c>
      <c r="BI9" s="177">
        <f>IF(ISBLANK(BC9),"",_xlfn.XLOOKUP(BC9,'Week 5'!$A:$A,'Week 5'!$H:$H))</f>
        <v>0</v>
      </c>
      <c r="BJ9" s="178">
        <f t="shared" si="4"/>
        <v>0</v>
      </c>
    </row>
    <row r="10" spans="6:62" ht="15" thickTop="1" x14ac:dyDescent="0.35">
      <c r="F10" s="126" t="s">
        <v>47</v>
      </c>
      <c r="G10" s="127" t="s">
        <v>15</v>
      </c>
      <c r="L10" s="128" t="s">
        <v>48</v>
      </c>
      <c r="M10" s="129" t="s">
        <v>15</v>
      </c>
      <c r="S10" s="174" t="str">
        <f>IF(ISBLANK(Teams!$E9),"",Teams!$E9)</f>
        <v>Employee #7</v>
      </c>
      <c r="T10" s="175" t="str">
        <f>IF(ISBLANK(S10),"",_xlfn.XLOOKUP(S10,'Week 1'!$A:$A,'Week 1'!$B:$B))</f>
        <v/>
      </c>
      <c r="U10" s="175">
        <f>IF(ISBLANK(S10),"",_xlfn.XLOOKUP(S10,'Week 1'!$A:$A,'Week 1'!$D:$D))</f>
        <v>0.84923076923076912</v>
      </c>
      <c r="V10" s="176">
        <f>IF(ISBLANK(S10),"",_xlfn.XLOOKUP(S10,'Week 1'!$A:$A,'Week 1'!$E:$E))</f>
        <v>0.89300000000000002</v>
      </c>
      <c r="W10" s="177" t="str">
        <f>IF(ISBLANK(S10),"",_xlfn.XLOOKUP(S10,'Week 1'!$A:$A,'Week 1'!$F:$F))</f>
        <v/>
      </c>
      <c r="X10" s="177">
        <f>IF(ISBLANK(S10),"",_xlfn.XLOOKUP(S10,'Week 1'!$A:$A,'Week 1'!$G:$G))</f>
        <v>1</v>
      </c>
      <c r="Y10" s="177">
        <f>IF(ISBLANK(S10),"",_xlfn.XLOOKUP(S10,'Week 1'!$A:$A,'Week 1'!$H:$H))</f>
        <v>2</v>
      </c>
      <c r="Z10" s="178">
        <f t="shared" si="0"/>
        <v>3</v>
      </c>
      <c r="AA10" s="179"/>
      <c r="AB10" s="174" t="str">
        <f>IF(ISBLANK(Teams!$E9),"",Teams!$E9)</f>
        <v>Employee #7</v>
      </c>
      <c r="AC10" s="175" t="str">
        <f>IF(ISBLANK(AB10),"",_xlfn.XLOOKUP(AB10,'Week 2'!$A:$A,'Week 2'!$B:$B))</f>
        <v/>
      </c>
      <c r="AD10" s="175" t="str">
        <f>IF(ISBLANK(AB10),"",_xlfn.XLOOKUP(AB10,'Week 2'!$A:$A,'Week 2'!$D:$D))</f>
        <v/>
      </c>
      <c r="AE10" s="176" t="str">
        <f>IF(ISBLANK(AB10),"",_xlfn.XLOOKUP(AB10,'Week 2'!$A:$A,'Week 2'!$E:$E))</f>
        <v/>
      </c>
      <c r="AF10" s="177">
        <f>IF(ISBLANK(AB10),"",_xlfn.XLOOKUP(AB10,'Week 2'!$A:$A,'Week 2'!$F:$F))</f>
        <v>0</v>
      </c>
      <c r="AG10" s="177">
        <f>IF(ISBLANK(AB10),"",_xlfn.XLOOKUP(AB10,'Week 2'!$A:$A,'Week 2'!$G:$G))</f>
        <v>0</v>
      </c>
      <c r="AH10" s="177">
        <f>IF(ISBLANK(AB10),"",_xlfn.XLOOKUP(AB10,'Week 2'!$A:$A,'Week 2'!$H:$H))</f>
        <v>0</v>
      </c>
      <c r="AI10" s="178">
        <f t="shared" si="1"/>
        <v>0</v>
      </c>
      <c r="AJ10" s="179"/>
      <c r="AK10" s="174" t="str">
        <f>IF(ISBLANK(Teams!$E9),"",Teams!$E9)</f>
        <v>Employee #7</v>
      </c>
      <c r="AL10" s="175" t="str">
        <f>IF(ISBLANK(AK10),"",_xlfn.XLOOKUP(AK10,'Week 3'!$A:$A,'Week 3'!$B:$B))</f>
        <v/>
      </c>
      <c r="AM10" s="175" t="str">
        <f>IF(ISBLANK(AK10),"",_xlfn.XLOOKUP(AK10,'Week 3'!$A:$A,'Week 3'!$D:$D))</f>
        <v/>
      </c>
      <c r="AN10" s="176" t="str">
        <f>IF(ISBLANK(AK10),"",_xlfn.XLOOKUP(AK10,'Week 3'!$A:$A,'Week 3'!$E:$E))</f>
        <v/>
      </c>
      <c r="AO10" s="177">
        <f>IF(ISBLANK(AK10),"",_xlfn.XLOOKUP(AK10,'Week 3'!$A:$A,'Week 3'!$F:$F))</f>
        <v>0</v>
      </c>
      <c r="AP10" s="177">
        <f>IF(ISBLANK(AK10),"",_xlfn.XLOOKUP(AK10,'Week 3'!$A:$A,'Week 3'!$G:$G))</f>
        <v>0</v>
      </c>
      <c r="AQ10" s="177">
        <f>IF(ISBLANK(AK10),"",_xlfn.XLOOKUP(AK10,'Week 3'!$A:$A,'Week 3'!$H:$H))</f>
        <v>0</v>
      </c>
      <c r="AR10" s="178">
        <f t="shared" si="2"/>
        <v>0</v>
      </c>
      <c r="AS10" s="179"/>
      <c r="AT10" s="174" t="str">
        <f>IF(ISBLANK(Teams!$E9),"",Teams!$E9)</f>
        <v>Employee #7</v>
      </c>
      <c r="AU10" s="175" t="str">
        <f>IF(ISBLANK(AT10),"",_xlfn.XLOOKUP(AT10,'Week 4'!$A:$A,'Week 4'!$B:$B))</f>
        <v/>
      </c>
      <c r="AV10" s="175" t="str">
        <f>IF(ISBLANK(AT10),"",_xlfn.XLOOKUP(AT10,'Week 4'!$A:$A,'Week 4'!$D:$D))</f>
        <v/>
      </c>
      <c r="AW10" s="176" t="str">
        <f>IF(ISBLANK(AT10),"",_xlfn.XLOOKUP(AT10,'Week 4'!$A:$A,'Week 4'!$E:$E))</f>
        <v/>
      </c>
      <c r="AX10" s="177">
        <f>IF(ISBLANK(AT10),"",_xlfn.XLOOKUP(AT10,'Week 4'!$A:$A,'Week 4'!$F:$F))</f>
        <v>0</v>
      </c>
      <c r="AY10" s="177">
        <f>IF(ISBLANK(AT10),"",_xlfn.XLOOKUP(AT10,'Week 4'!$A:$A,'Week 4'!$G:$G))</f>
        <v>0</v>
      </c>
      <c r="AZ10" s="177">
        <f>IF(ISBLANK(AT10),"",_xlfn.XLOOKUP(AT10,'Week 4'!$A:$A,'Week 4'!$H:$H))</f>
        <v>0</v>
      </c>
      <c r="BA10" s="178">
        <f t="shared" si="3"/>
        <v>0</v>
      </c>
      <c r="BB10" s="179"/>
      <c r="BC10" s="174" t="str">
        <f>IF(ISBLANK(Teams!$E9),"",Teams!$E9)</f>
        <v>Employee #7</v>
      </c>
      <c r="BD10" s="175" t="str">
        <f>IF(ISBLANK(BC10),"",_xlfn.XLOOKUP(BC10,'Week 5'!$A:$A,'Week 5'!$B:$B))</f>
        <v/>
      </c>
      <c r="BE10" s="175" t="str">
        <f>IF(ISBLANK(BC10),"",_xlfn.XLOOKUP(BC10,'Week 5'!$A:$A,'Week 5'!$D:$D))</f>
        <v/>
      </c>
      <c r="BF10" s="176" t="str">
        <f>IF(ISBLANK(BC10),"",_xlfn.XLOOKUP(BC10,'Week 5'!$A:$A,'Week 5'!$E:$E))</f>
        <v/>
      </c>
      <c r="BG10" s="177">
        <f>IF(ISBLANK(BC10),"",_xlfn.XLOOKUP(BC10,'Week 5'!$A:$A,'Week 5'!$F:$F))</f>
        <v>0</v>
      </c>
      <c r="BH10" s="177">
        <f>IF(ISBLANK(BC10),"",_xlfn.XLOOKUP(BC10,'Week 5'!$A:$A,'Week 5'!$G:$G))</f>
        <v>0</v>
      </c>
      <c r="BI10" s="177">
        <f>IF(ISBLANK(BC10),"",_xlfn.XLOOKUP(BC10,'Week 5'!$A:$A,'Week 5'!$H:$H))</f>
        <v>0</v>
      </c>
      <c r="BJ10" s="178">
        <f t="shared" si="4"/>
        <v>0</v>
      </c>
    </row>
    <row r="11" spans="6:62" ht="15.5" x14ac:dyDescent="0.35">
      <c r="F11" s="172" t="str">
        <f>IF(ISBLANK(Teams!E3),"",Teams!E3)</f>
        <v>Employee #1</v>
      </c>
      <c r="G11" s="130">
        <f>IF(F11="","",_xlfn.XLOOKUP(F11,Teams!E:E,Teams!F:F))</f>
        <v>6</v>
      </c>
      <c r="L11" s="173" t="str">
        <f>IF(ISBLANK(Teams!H3),"",Teams!H3)</f>
        <v>Employee #8</v>
      </c>
      <c r="M11" s="131">
        <f>IF(L11="","",_xlfn.XLOOKUP(L11,Teams!H:H,Teams!I:I))</f>
        <v>4</v>
      </c>
      <c r="S11" s="174" t="str">
        <f>IF(ISBLANK(Teams!$E10),"",Teams!$E10)</f>
        <v/>
      </c>
      <c r="T11" s="175" t="str">
        <f>IF(ISBLANK(S11),"",_xlfn.XLOOKUP(S11,'Week 1'!$A:$A,'Week 1'!$B:$B))</f>
        <v/>
      </c>
      <c r="U11" s="175" t="str">
        <f>IF(ISBLANK(S11),"",_xlfn.XLOOKUP(S11,'Week 1'!$A:$A,'Week 1'!$D:$D))</f>
        <v/>
      </c>
      <c r="V11" s="176" t="str">
        <f>IF(ISBLANK(S11),"",_xlfn.XLOOKUP(S11,'Week 1'!$A:$A,'Week 1'!$E:$E))</f>
        <v/>
      </c>
      <c r="W11" s="177" t="str">
        <f>IF(ISBLANK(S11),"",_xlfn.XLOOKUP(S11,'Week 1'!$A:$A,'Week 1'!$F:$F))</f>
        <v/>
      </c>
      <c r="X11" s="177" t="str">
        <f>IF(ISBLANK(S11),"",_xlfn.XLOOKUP(S11,'Week 1'!$A:$A,'Week 1'!$G:$G))</f>
        <v/>
      </c>
      <c r="Y11" s="177">
        <f>IF(ISBLANK(S11),"",_xlfn.XLOOKUP(S11,'Week 1'!$A:$A,'Week 1'!$H:$H))</f>
        <v>0</v>
      </c>
      <c r="Z11" s="178">
        <f t="shared" si="0"/>
        <v>0</v>
      </c>
      <c r="AA11" s="179"/>
      <c r="AB11" s="174" t="str">
        <f>IF(ISBLANK(Teams!$E10),"",Teams!$E10)</f>
        <v/>
      </c>
      <c r="AC11" s="175" t="str">
        <f>IF(ISBLANK(AB11),"",_xlfn.XLOOKUP(AB11,'Week 2'!$A:$A,'Week 2'!$B:$B))</f>
        <v/>
      </c>
      <c r="AD11" s="175" t="str">
        <f>IF(ISBLANK(AB11),"",_xlfn.XLOOKUP(AB11,'Week 2'!$A:$A,'Week 2'!$D:$D))</f>
        <v/>
      </c>
      <c r="AE11" s="176" t="str">
        <f>IF(ISBLANK(AB11),"",_xlfn.XLOOKUP(AB11,'Week 2'!$A:$A,'Week 2'!$E:$E))</f>
        <v/>
      </c>
      <c r="AF11" s="177">
        <f>IF(ISBLANK(AB11),"",_xlfn.XLOOKUP(AB11,'Week 2'!$A:$A,'Week 2'!$F:$F))</f>
        <v>0</v>
      </c>
      <c r="AG11" s="177">
        <f>IF(ISBLANK(AB11),"",_xlfn.XLOOKUP(AB11,'Week 2'!$A:$A,'Week 2'!$G:$G))</f>
        <v>0</v>
      </c>
      <c r="AH11" s="177">
        <f>IF(ISBLANK(AB11),"",_xlfn.XLOOKUP(AB11,'Week 2'!$A:$A,'Week 2'!$H:$H))</f>
        <v>0</v>
      </c>
      <c r="AI11" s="178">
        <f t="shared" si="1"/>
        <v>0</v>
      </c>
      <c r="AJ11" s="179"/>
      <c r="AK11" s="174" t="str">
        <f>IF(ISBLANK(Teams!$E10),"",Teams!$E10)</f>
        <v/>
      </c>
      <c r="AL11" s="175" t="str">
        <f>IF(ISBLANK(AK11),"",_xlfn.XLOOKUP(AK11,'Week 3'!$A:$A,'Week 3'!$B:$B))</f>
        <v/>
      </c>
      <c r="AM11" s="175" t="str">
        <f>IF(ISBLANK(AK11),"",_xlfn.XLOOKUP(AK11,'Week 3'!$A:$A,'Week 3'!$D:$D))</f>
        <v/>
      </c>
      <c r="AN11" s="176" t="str">
        <f>IF(ISBLANK(AK11),"",_xlfn.XLOOKUP(AK11,'Week 3'!$A:$A,'Week 3'!$E:$E))</f>
        <v/>
      </c>
      <c r="AO11" s="177">
        <f>IF(ISBLANK(AK11),"",_xlfn.XLOOKUP(AK11,'Week 3'!$A:$A,'Week 3'!$F:$F))</f>
        <v>0</v>
      </c>
      <c r="AP11" s="177">
        <f>IF(ISBLANK(AK11),"",_xlfn.XLOOKUP(AK11,'Week 3'!$A:$A,'Week 3'!$G:$G))</f>
        <v>0</v>
      </c>
      <c r="AQ11" s="177">
        <f>IF(ISBLANK(AK11),"",_xlfn.XLOOKUP(AK11,'Week 3'!$A:$A,'Week 3'!$H:$H))</f>
        <v>0</v>
      </c>
      <c r="AR11" s="178">
        <f t="shared" si="2"/>
        <v>0</v>
      </c>
      <c r="AS11" s="179"/>
      <c r="AT11" s="174" t="str">
        <f>IF(ISBLANK(Teams!$E10),"",Teams!$E10)</f>
        <v/>
      </c>
      <c r="AU11" s="175" t="str">
        <f>IF(ISBLANK(AT11),"",_xlfn.XLOOKUP(AT11,'Week 4'!$A:$A,'Week 4'!$B:$B))</f>
        <v/>
      </c>
      <c r="AV11" s="175" t="str">
        <f>IF(ISBLANK(AT11),"",_xlfn.XLOOKUP(AT11,'Week 4'!$A:$A,'Week 4'!$D:$D))</f>
        <v/>
      </c>
      <c r="AW11" s="176" t="str">
        <f>IF(ISBLANK(AT11),"",_xlfn.XLOOKUP(AT11,'Week 4'!$A:$A,'Week 4'!$E:$E))</f>
        <v/>
      </c>
      <c r="AX11" s="177">
        <f>IF(ISBLANK(AT11),"",_xlfn.XLOOKUP(AT11,'Week 4'!$A:$A,'Week 4'!$F:$F))</f>
        <v>0</v>
      </c>
      <c r="AY11" s="177">
        <f>IF(ISBLANK(AT11),"",_xlfn.XLOOKUP(AT11,'Week 4'!$A:$A,'Week 4'!$G:$G))</f>
        <v>0</v>
      </c>
      <c r="AZ11" s="177">
        <f>IF(ISBLANK(AT11),"",_xlfn.XLOOKUP(AT11,'Week 4'!$A:$A,'Week 4'!$H:$H))</f>
        <v>0</v>
      </c>
      <c r="BA11" s="178">
        <f t="shared" si="3"/>
        <v>0</v>
      </c>
      <c r="BB11" s="179"/>
      <c r="BC11" s="174" t="str">
        <f>IF(ISBLANK(Teams!$E10),"",Teams!$E10)</f>
        <v/>
      </c>
      <c r="BD11" s="175" t="str">
        <f>IF(ISBLANK(BC11),"",_xlfn.XLOOKUP(BC11,'Week 5'!$A:$A,'Week 5'!$B:$B))</f>
        <v/>
      </c>
      <c r="BE11" s="175" t="str">
        <f>IF(ISBLANK(BC11),"",_xlfn.XLOOKUP(BC11,'Week 5'!$A:$A,'Week 5'!$D:$D))</f>
        <v/>
      </c>
      <c r="BF11" s="176" t="str">
        <f>IF(ISBLANK(BC11),"",_xlfn.XLOOKUP(BC11,'Week 5'!$A:$A,'Week 5'!$E:$E))</f>
        <v/>
      </c>
      <c r="BG11" s="177">
        <f>IF(ISBLANK(BC11),"",_xlfn.XLOOKUP(BC11,'Week 5'!$A:$A,'Week 5'!$F:$F))</f>
        <v>0</v>
      </c>
      <c r="BH11" s="177">
        <f>IF(ISBLANK(BC11),"",_xlfn.XLOOKUP(BC11,'Week 5'!$A:$A,'Week 5'!$G:$G))</f>
        <v>0</v>
      </c>
      <c r="BI11" s="177">
        <f>IF(ISBLANK(BC11),"",_xlfn.XLOOKUP(BC11,'Week 5'!$A:$A,'Week 5'!$H:$H))</f>
        <v>0</v>
      </c>
      <c r="BJ11" s="178">
        <f t="shared" si="4"/>
        <v>0</v>
      </c>
    </row>
    <row r="12" spans="6:62" ht="15.5" x14ac:dyDescent="0.35">
      <c r="F12" s="172" t="str">
        <f>IF(ISBLANK(Teams!E4),"",Teams!E4)</f>
        <v>Employee #2</v>
      </c>
      <c r="G12" s="130">
        <f>IF(F12="","",_xlfn.XLOOKUP(F12,Teams!E:E,Teams!F:F))</f>
        <v>4</v>
      </c>
      <c r="L12" s="173" t="str">
        <f>IF(ISBLANK(Teams!H4),"",Teams!H4)</f>
        <v>Employee #9</v>
      </c>
      <c r="M12" s="131">
        <f>IF(L12="","",_xlfn.XLOOKUP(L12,Teams!H:H,Teams!I:I))</f>
        <v>0</v>
      </c>
      <c r="S12" s="174" t="str">
        <f>IF(ISBLANK(Teams!$E11),"",Teams!$E11)</f>
        <v/>
      </c>
      <c r="T12" s="175" t="str">
        <f>IF(ISBLANK(S12),"",_xlfn.XLOOKUP(S12,'Week 1'!$A:$A,'Week 1'!$B:$B))</f>
        <v/>
      </c>
      <c r="U12" s="175" t="str">
        <f>IF(ISBLANK(S12),"",_xlfn.XLOOKUP(S12,'Week 1'!$A:$A,'Week 1'!$D:$D))</f>
        <v/>
      </c>
      <c r="V12" s="176" t="str">
        <f>IF(ISBLANK(S12),"",_xlfn.XLOOKUP(S12,'Week 1'!$A:$A,'Week 1'!$E:$E))</f>
        <v/>
      </c>
      <c r="W12" s="177" t="str">
        <f>IF(ISBLANK(S12),"",_xlfn.XLOOKUP(S12,'Week 1'!$A:$A,'Week 1'!$F:$F))</f>
        <v/>
      </c>
      <c r="X12" s="177" t="str">
        <f>IF(ISBLANK(S12),"",_xlfn.XLOOKUP(S12,'Week 1'!$A:$A,'Week 1'!$G:$G))</f>
        <v/>
      </c>
      <c r="Y12" s="177">
        <f>IF(ISBLANK(S12),"",_xlfn.XLOOKUP(S12,'Week 1'!$A:$A,'Week 1'!$H:$H))</f>
        <v>0</v>
      </c>
      <c r="Z12" s="178">
        <f t="shared" si="0"/>
        <v>0</v>
      </c>
      <c r="AA12" s="179"/>
      <c r="AB12" s="174" t="str">
        <f>IF(ISBLANK(Teams!$E11),"",Teams!$E11)</f>
        <v/>
      </c>
      <c r="AC12" s="175" t="str">
        <f>IF(ISBLANK(AB12),"",_xlfn.XLOOKUP(AB12,'Week 2'!$A:$A,'Week 2'!$B:$B))</f>
        <v/>
      </c>
      <c r="AD12" s="175" t="str">
        <f>IF(ISBLANK(AB12),"",_xlfn.XLOOKUP(AB12,'Week 2'!$A:$A,'Week 2'!$D:$D))</f>
        <v/>
      </c>
      <c r="AE12" s="176" t="str">
        <f>IF(ISBLANK(AB12),"",_xlfn.XLOOKUP(AB12,'Week 2'!$A:$A,'Week 2'!$E:$E))</f>
        <v/>
      </c>
      <c r="AF12" s="177">
        <f>IF(ISBLANK(AB12),"",_xlfn.XLOOKUP(AB12,'Week 2'!$A:$A,'Week 2'!$F:$F))</f>
        <v>0</v>
      </c>
      <c r="AG12" s="177">
        <f>IF(ISBLANK(AB12),"",_xlfn.XLOOKUP(AB12,'Week 2'!$A:$A,'Week 2'!$G:$G))</f>
        <v>0</v>
      </c>
      <c r="AH12" s="177">
        <f>IF(ISBLANK(AB12),"",_xlfn.XLOOKUP(AB12,'Week 2'!$A:$A,'Week 2'!$H:$H))</f>
        <v>0</v>
      </c>
      <c r="AI12" s="178">
        <f t="shared" si="1"/>
        <v>0</v>
      </c>
      <c r="AJ12" s="179"/>
      <c r="AK12" s="174" t="str">
        <f>IF(ISBLANK(Teams!$E11),"",Teams!$E11)</f>
        <v/>
      </c>
      <c r="AL12" s="175" t="str">
        <f>IF(ISBLANK(AK12),"",_xlfn.XLOOKUP(AK12,'Week 3'!$A:$A,'Week 3'!$B:$B))</f>
        <v/>
      </c>
      <c r="AM12" s="175" t="str">
        <f>IF(ISBLANK(AK12),"",_xlfn.XLOOKUP(AK12,'Week 3'!$A:$A,'Week 3'!$D:$D))</f>
        <v/>
      </c>
      <c r="AN12" s="176" t="str">
        <f>IF(ISBLANK(AK12),"",_xlfn.XLOOKUP(AK12,'Week 3'!$A:$A,'Week 3'!$E:$E))</f>
        <v/>
      </c>
      <c r="AO12" s="177">
        <f>IF(ISBLANK(AK12),"",_xlfn.XLOOKUP(AK12,'Week 3'!$A:$A,'Week 3'!$F:$F))</f>
        <v>0</v>
      </c>
      <c r="AP12" s="177">
        <f>IF(ISBLANK(AK12),"",_xlfn.XLOOKUP(AK12,'Week 3'!$A:$A,'Week 3'!$G:$G))</f>
        <v>0</v>
      </c>
      <c r="AQ12" s="177">
        <f>IF(ISBLANK(AK12),"",_xlfn.XLOOKUP(AK12,'Week 3'!$A:$A,'Week 3'!$H:$H))</f>
        <v>0</v>
      </c>
      <c r="AR12" s="178">
        <f t="shared" si="2"/>
        <v>0</v>
      </c>
      <c r="AS12" s="179"/>
      <c r="AT12" s="174" t="str">
        <f>IF(ISBLANK(Teams!$E11),"",Teams!$E11)</f>
        <v/>
      </c>
      <c r="AU12" s="175" t="str">
        <f>IF(ISBLANK(AT12),"",_xlfn.XLOOKUP(AT12,'Week 4'!$A:$A,'Week 4'!$B:$B))</f>
        <v/>
      </c>
      <c r="AV12" s="175" t="str">
        <f>IF(ISBLANK(AT12),"",_xlfn.XLOOKUP(AT12,'Week 4'!$A:$A,'Week 4'!$D:$D))</f>
        <v/>
      </c>
      <c r="AW12" s="176" t="str">
        <f>IF(ISBLANK(AT12),"",_xlfn.XLOOKUP(AT12,'Week 4'!$A:$A,'Week 4'!$E:$E))</f>
        <v/>
      </c>
      <c r="AX12" s="177">
        <f>IF(ISBLANK(AT12),"",_xlfn.XLOOKUP(AT12,'Week 4'!$A:$A,'Week 4'!$F:$F))</f>
        <v>0</v>
      </c>
      <c r="AY12" s="177">
        <f>IF(ISBLANK(AT12),"",_xlfn.XLOOKUP(AT12,'Week 4'!$A:$A,'Week 4'!$G:$G))</f>
        <v>0</v>
      </c>
      <c r="AZ12" s="177">
        <f>IF(ISBLANK(AT12),"",_xlfn.XLOOKUP(AT12,'Week 4'!$A:$A,'Week 4'!$H:$H))</f>
        <v>0</v>
      </c>
      <c r="BA12" s="178">
        <f t="shared" si="3"/>
        <v>0</v>
      </c>
      <c r="BB12" s="179"/>
      <c r="BC12" s="174" t="str">
        <f>IF(ISBLANK(Teams!$E11),"",Teams!$E11)</f>
        <v/>
      </c>
      <c r="BD12" s="175" t="str">
        <f>IF(ISBLANK(BC12),"",_xlfn.XLOOKUP(BC12,'Week 5'!$A:$A,'Week 5'!$B:$B))</f>
        <v/>
      </c>
      <c r="BE12" s="175" t="str">
        <f>IF(ISBLANK(BC12),"",_xlfn.XLOOKUP(BC12,'Week 5'!$A:$A,'Week 5'!$D:$D))</f>
        <v/>
      </c>
      <c r="BF12" s="176" t="str">
        <f>IF(ISBLANK(BC12),"",_xlfn.XLOOKUP(BC12,'Week 5'!$A:$A,'Week 5'!$E:$E))</f>
        <v/>
      </c>
      <c r="BG12" s="177">
        <f>IF(ISBLANK(BC12),"",_xlfn.XLOOKUP(BC12,'Week 5'!$A:$A,'Week 5'!$F:$F))</f>
        <v>0</v>
      </c>
      <c r="BH12" s="177">
        <f>IF(ISBLANK(BC12),"",_xlfn.XLOOKUP(BC12,'Week 5'!$A:$A,'Week 5'!$G:$G))</f>
        <v>0</v>
      </c>
      <c r="BI12" s="177">
        <f>IF(ISBLANK(BC12),"",_xlfn.XLOOKUP(BC12,'Week 5'!$A:$A,'Week 5'!$H:$H))</f>
        <v>0</v>
      </c>
      <c r="BJ12" s="178">
        <f t="shared" si="4"/>
        <v>0</v>
      </c>
    </row>
    <row r="13" spans="6:62" ht="15.5" x14ac:dyDescent="0.35">
      <c r="F13" s="172" t="str">
        <f>IF(ISBLANK(Teams!E5),"",Teams!E5)</f>
        <v>Employee #3</v>
      </c>
      <c r="G13" s="130">
        <f>IF(F13="","",_xlfn.XLOOKUP(F13,Teams!E:E,Teams!F:F))</f>
        <v>2</v>
      </c>
      <c r="L13" s="173" t="str">
        <f>IF(ISBLANK(Teams!H5),"",Teams!H5)</f>
        <v>Employee #10</v>
      </c>
      <c r="M13" s="131">
        <f>IF(L13="","",_xlfn.XLOOKUP(L13,Teams!H:H,Teams!I:I))</f>
        <v>4</v>
      </c>
      <c r="S13" s="174" t="str">
        <f>IF(ISBLANK(Teams!$E12),"",Teams!$E12)</f>
        <v/>
      </c>
      <c r="T13" s="175" t="str">
        <f>IF(ISBLANK(S13),"",_xlfn.XLOOKUP(S13,'Week 1'!$A:$A,'Week 1'!$B:$B))</f>
        <v/>
      </c>
      <c r="U13" s="175" t="str">
        <f>IF(ISBLANK(S13),"",_xlfn.XLOOKUP(S13,'Week 1'!$A:$A,'Week 1'!$D:$D))</f>
        <v/>
      </c>
      <c r="V13" s="176" t="str">
        <f>IF(ISBLANK(S13),"",_xlfn.XLOOKUP(S13,'Week 1'!$A:$A,'Week 1'!$E:$E))</f>
        <v/>
      </c>
      <c r="W13" s="177" t="str">
        <f>IF(ISBLANK(S13),"",_xlfn.XLOOKUP(S13,'Week 1'!$A:$A,'Week 1'!$F:$F))</f>
        <v/>
      </c>
      <c r="X13" s="177" t="str">
        <f>IF(ISBLANK(S13),"",_xlfn.XLOOKUP(S13,'Week 1'!$A:$A,'Week 1'!$G:$G))</f>
        <v/>
      </c>
      <c r="Y13" s="177">
        <f>IF(ISBLANK(S13),"",_xlfn.XLOOKUP(S13,'Week 1'!$A:$A,'Week 1'!$H:$H))</f>
        <v>0</v>
      </c>
      <c r="Z13" s="178">
        <f t="shared" si="0"/>
        <v>0</v>
      </c>
      <c r="AA13" s="179"/>
      <c r="AB13" s="174" t="str">
        <f>IF(ISBLANK(Teams!$E12),"",Teams!$E12)</f>
        <v/>
      </c>
      <c r="AC13" s="175" t="str">
        <f>IF(ISBLANK(AB13),"",_xlfn.XLOOKUP(AB13,'Week 2'!$A:$A,'Week 2'!$B:$B))</f>
        <v/>
      </c>
      <c r="AD13" s="175" t="str">
        <f>IF(ISBLANK(AB13),"",_xlfn.XLOOKUP(AB13,'Week 2'!$A:$A,'Week 2'!$D:$D))</f>
        <v/>
      </c>
      <c r="AE13" s="176" t="str">
        <f>IF(ISBLANK(AB13),"",_xlfn.XLOOKUP(AB13,'Week 2'!$A:$A,'Week 2'!$E:$E))</f>
        <v/>
      </c>
      <c r="AF13" s="177">
        <f>IF(ISBLANK(AB13),"",_xlfn.XLOOKUP(AB13,'Week 2'!$A:$A,'Week 2'!$F:$F))</f>
        <v>0</v>
      </c>
      <c r="AG13" s="177">
        <f>IF(ISBLANK(AB13),"",_xlfn.XLOOKUP(AB13,'Week 2'!$A:$A,'Week 2'!$G:$G))</f>
        <v>0</v>
      </c>
      <c r="AH13" s="177">
        <f>IF(ISBLANK(AB13),"",_xlfn.XLOOKUP(AB13,'Week 2'!$A:$A,'Week 2'!$H:$H))</f>
        <v>0</v>
      </c>
      <c r="AI13" s="178">
        <f t="shared" si="1"/>
        <v>0</v>
      </c>
      <c r="AJ13" s="179"/>
      <c r="AK13" s="174" t="str">
        <f>IF(ISBLANK(Teams!$E12),"",Teams!$E12)</f>
        <v/>
      </c>
      <c r="AL13" s="175" t="str">
        <f>IF(ISBLANK(AK13),"",_xlfn.XLOOKUP(AK13,'Week 3'!$A:$A,'Week 3'!$B:$B))</f>
        <v/>
      </c>
      <c r="AM13" s="175" t="str">
        <f>IF(ISBLANK(AK13),"",_xlfn.XLOOKUP(AK13,'Week 3'!$A:$A,'Week 3'!$D:$D))</f>
        <v/>
      </c>
      <c r="AN13" s="176" t="str">
        <f>IF(ISBLANK(AK13),"",_xlfn.XLOOKUP(AK13,'Week 3'!$A:$A,'Week 3'!$E:$E))</f>
        <v/>
      </c>
      <c r="AO13" s="177">
        <f>IF(ISBLANK(AK13),"",_xlfn.XLOOKUP(AK13,'Week 3'!$A:$A,'Week 3'!$F:$F))</f>
        <v>0</v>
      </c>
      <c r="AP13" s="177">
        <f>IF(ISBLANK(AK13),"",_xlfn.XLOOKUP(AK13,'Week 3'!$A:$A,'Week 3'!$G:$G))</f>
        <v>0</v>
      </c>
      <c r="AQ13" s="177">
        <f>IF(ISBLANK(AK13),"",_xlfn.XLOOKUP(AK13,'Week 3'!$A:$A,'Week 3'!$H:$H))</f>
        <v>0</v>
      </c>
      <c r="AR13" s="178">
        <f t="shared" si="2"/>
        <v>0</v>
      </c>
      <c r="AS13" s="179"/>
      <c r="AT13" s="174" t="str">
        <f>IF(ISBLANK(Teams!$E12),"",Teams!$E12)</f>
        <v/>
      </c>
      <c r="AU13" s="175" t="str">
        <f>IF(ISBLANK(AT13),"",_xlfn.XLOOKUP(AT13,'Week 4'!$A:$A,'Week 4'!$B:$B))</f>
        <v/>
      </c>
      <c r="AV13" s="175" t="str">
        <f>IF(ISBLANK(AT13),"",_xlfn.XLOOKUP(AT13,'Week 4'!$A:$A,'Week 4'!$D:$D))</f>
        <v/>
      </c>
      <c r="AW13" s="176" t="str">
        <f>IF(ISBLANK(AT13),"",_xlfn.XLOOKUP(AT13,'Week 4'!$A:$A,'Week 4'!$E:$E))</f>
        <v/>
      </c>
      <c r="AX13" s="177">
        <f>IF(ISBLANK(AT13),"",_xlfn.XLOOKUP(AT13,'Week 4'!$A:$A,'Week 4'!$F:$F))</f>
        <v>0</v>
      </c>
      <c r="AY13" s="177">
        <f>IF(ISBLANK(AT13),"",_xlfn.XLOOKUP(AT13,'Week 4'!$A:$A,'Week 4'!$G:$G))</f>
        <v>0</v>
      </c>
      <c r="AZ13" s="177">
        <f>IF(ISBLANK(AT13),"",_xlfn.XLOOKUP(AT13,'Week 4'!$A:$A,'Week 4'!$H:$H))</f>
        <v>0</v>
      </c>
      <c r="BA13" s="178">
        <f t="shared" si="3"/>
        <v>0</v>
      </c>
      <c r="BB13" s="179"/>
      <c r="BC13" s="174" t="str">
        <f>IF(ISBLANK(Teams!$E12),"",Teams!$E12)</f>
        <v/>
      </c>
      <c r="BD13" s="175" t="str">
        <f>IF(ISBLANK(BC13),"",_xlfn.XLOOKUP(BC13,'Week 5'!$A:$A,'Week 5'!$B:$B))</f>
        <v/>
      </c>
      <c r="BE13" s="175" t="str">
        <f>IF(ISBLANK(BC13),"",_xlfn.XLOOKUP(BC13,'Week 5'!$A:$A,'Week 5'!$D:$D))</f>
        <v/>
      </c>
      <c r="BF13" s="176" t="str">
        <f>IF(ISBLANK(BC13),"",_xlfn.XLOOKUP(BC13,'Week 5'!$A:$A,'Week 5'!$E:$E))</f>
        <v/>
      </c>
      <c r="BG13" s="177">
        <f>IF(ISBLANK(BC13),"",_xlfn.XLOOKUP(BC13,'Week 5'!$A:$A,'Week 5'!$F:$F))</f>
        <v>0</v>
      </c>
      <c r="BH13" s="177">
        <f>IF(ISBLANK(BC13),"",_xlfn.XLOOKUP(BC13,'Week 5'!$A:$A,'Week 5'!$G:$G))</f>
        <v>0</v>
      </c>
      <c r="BI13" s="177">
        <f>IF(ISBLANK(BC13),"",_xlfn.XLOOKUP(BC13,'Week 5'!$A:$A,'Week 5'!$H:$H))</f>
        <v>0</v>
      </c>
      <c r="BJ13" s="178">
        <f t="shared" si="4"/>
        <v>0</v>
      </c>
    </row>
    <row r="14" spans="6:62" ht="15.5" x14ac:dyDescent="0.35">
      <c r="F14" s="172" t="str">
        <f>IF(ISBLANK(Teams!E6),"",Teams!E6)</f>
        <v>Employee #4</v>
      </c>
      <c r="G14" s="130">
        <f>IF(F14="","",_xlfn.XLOOKUP(F14,Teams!E:E,Teams!F:F))</f>
        <v>4</v>
      </c>
      <c r="L14" s="173" t="str">
        <f>IF(ISBLANK(Teams!H6),"",Teams!H6)</f>
        <v>Employee #11</v>
      </c>
      <c r="M14" s="131">
        <f>IF(L14="","",_xlfn.XLOOKUP(L14,Teams!H:H,Teams!I:I))</f>
        <v>5</v>
      </c>
      <c r="S14" s="182"/>
      <c r="T14" s="182"/>
      <c r="U14" s="182"/>
      <c r="V14" s="182"/>
      <c r="W14" s="182"/>
      <c r="X14" s="182"/>
      <c r="Y14" s="182"/>
      <c r="Z14" s="183">
        <f>SUM(Z4:Z13)</f>
        <v>27</v>
      </c>
      <c r="AA14" s="179"/>
      <c r="AB14" s="182"/>
      <c r="AC14" s="182"/>
      <c r="AD14" s="182"/>
      <c r="AE14" s="182"/>
      <c r="AF14" s="182"/>
      <c r="AG14" s="182"/>
      <c r="AH14" s="182"/>
      <c r="AI14" s="183">
        <f>SUM(AI4:AI13)</f>
        <v>0</v>
      </c>
      <c r="AJ14" s="179"/>
      <c r="AK14" s="182"/>
      <c r="AL14" s="182"/>
      <c r="AM14" s="182"/>
      <c r="AN14" s="182"/>
      <c r="AO14" s="182"/>
      <c r="AP14" s="182"/>
      <c r="AQ14" s="182"/>
      <c r="AR14" s="183">
        <f>SUM(AR4:AR13)</f>
        <v>0</v>
      </c>
      <c r="AS14" s="179"/>
      <c r="AT14" s="182"/>
      <c r="AU14" s="182"/>
      <c r="AV14" s="182"/>
      <c r="AW14" s="182"/>
      <c r="AX14" s="182"/>
      <c r="AY14" s="182"/>
      <c r="AZ14" s="182"/>
      <c r="BA14" s="183">
        <f>SUM(BA4:BA13)</f>
        <v>0</v>
      </c>
      <c r="BB14" s="179"/>
      <c r="BC14" s="182"/>
      <c r="BD14" s="182"/>
      <c r="BE14" s="182"/>
      <c r="BF14" s="182"/>
      <c r="BG14" s="182"/>
      <c r="BH14" s="182"/>
      <c r="BI14" s="182"/>
      <c r="BJ14" s="183">
        <f>SUM(BJ4:BJ13)</f>
        <v>0</v>
      </c>
    </row>
    <row r="15" spans="6:62" ht="15.5" x14ac:dyDescent="0.35">
      <c r="F15" s="172" t="str">
        <f>IF(ISBLANK(Teams!E7),"",Teams!E7)</f>
        <v>Employee #5</v>
      </c>
      <c r="G15" s="130">
        <f>IF(F15="","",_xlfn.XLOOKUP(F15,Teams!E:E,Teams!F:F))</f>
        <v>4</v>
      </c>
      <c r="L15" s="173" t="str">
        <f>IF(ISBLANK(Teams!H7),"",Teams!H7)</f>
        <v>Employee #12</v>
      </c>
      <c r="M15" s="131">
        <f>IF(L15="","",_xlfn.XLOOKUP(L15,Teams!H:H,Teams!I:I))</f>
        <v>4</v>
      </c>
      <c r="AE15" s="132"/>
      <c r="AN15" s="132"/>
      <c r="AW15" s="132"/>
      <c r="BF15" s="132"/>
    </row>
    <row r="16" spans="6:62" ht="15.5" x14ac:dyDescent="0.35">
      <c r="F16" s="172" t="str">
        <f>IF(ISBLANK(Teams!E8),"",Teams!E8)</f>
        <v>Employee #6</v>
      </c>
      <c r="G16" s="130">
        <f>IF(F16="","",_xlfn.XLOOKUP(F16,Teams!E:E,Teams!F:F))</f>
        <v>4</v>
      </c>
      <c r="L16" s="173" t="str">
        <f>IF(ISBLANK(Teams!H8),"",Teams!H8)</f>
        <v>Employee #13</v>
      </c>
      <c r="M16" s="131">
        <f>IF(L16="","",_xlfn.XLOOKUP(L16,Teams!H:H,Teams!I:I))</f>
        <v>0</v>
      </c>
      <c r="S16" s="192" t="s">
        <v>69</v>
      </c>
      <c r="T16" s="193"/>
      <c r="U16" s="193"/>
      <c r="V16" s="193"/>
      <c r="W16" s="194"/>
      <c r="X16" s="195" t="s">
        <v>68</v>
      </c>
      <c r="Y16" s="196"/>
      <c r="Z16" s="197"/>
      <c r="AB16" s="192" t="s">
        <v>63</v>
      </c>
      <c r="AC16" s="193"/>
      <c r="AD16" s="193"/>
      <c r="AE16" s="193"/>
      <c r="AF16" s="194"/>
      <c r="AG16" s="195" t="s">
        <v>67</v>
      </c>
      <c r="AH16" s="196"/>
      <c r="AI16" s="197"/>
      <c r="AK16" s="192" t="s">
        <v>63</v>
      </c>
      <c r="AL16" s="193"/>
      <c r="AM16" s="193"/>
      <c r="AN16" s="193"/>
      <c r="AO16" s="194"/>
      <c r="AP16" s="195" t="s">
        <v>66</v>
      </c>
      <c r="AQ16" s="196"/>
      <c r="AR16" s="197"/>
      <c r="AT16" s="192" t="s">
        <v>63</v>
      </c>
      <c r="AU16" s="193"/>
      <c r="AV16" s="193"/>
      <c r="AW16" s="193"/>
      <c r="AX16" s="194"/>
      <c r="AY16" s="195" t="s">
        <v>65</v>
      </c>
      <c r="AZ16" s="196"/>
      <c r="BA16" s="197"/>
      <c r="BC16" s="192" t="s">
        <v>63</v>
      </c>
      <c r="BD16" s="193"/>
      <c r="BE16" s="193"/>
      <c r="BF16" s="193"/>
      <c r="BG16" s="194"/>
      <c r="BH16" s="195" t="s">
        <v>64</v>
      </c>
      <c r="BI16" s="196"/>
      <c r="BJ16" s="197"/>
    </row>
    <row r="17" spans="6:62" ht="15.5" x14ac:dyDescent="0.35">
      <c r="F17" s="172" t="str">
        <f>IF(ISBLANK(Teams!E9),"",Teams!E9)</f>
        <v>Employee #7</v>
      </c>
      <c r="G17" s="130">
        <f>IF(F17="","",_xlfn.XLOOKUP(F17,Teams!E:E,Teams!F:F))</f>
        <v>3</v>
      </c>
      <c r="L17" s="173" t="str">
        <f>IF(ISBLANK(Teams!H9),"",Teams!H9)</f>
        <v>Employee #14</v>
      </c>
      <c r="M17" s="131">
        <f>IF(L17="","",_xlfn.XLOOKUP(L17,Teams!H:H,Teams!I:I))</f>
        <v>5</v>
      </c>
      <c r="S17" s="125" t="s">
        <v>1</v>
      </c>
      <c r="T17" s="125" t="s">
        <v>16</v>
      </c>
      <c r="U17" s="125" t="s">
        <v>46</v>
      </c>
      <c r="V17" s="125" t="s">
        <v>12</v>
      </c>
      <c r="W17" s="125" t="s">
        <v>17</v>
      </c>
      <c r="X17" s="125" t="s">
        <v>18</v>
      </c>
      <c r="Y17" s="125" t="s">
        <v>19</v>
      </c>
      <c r="Z17" s="125" t="s">
        <v>20</v>
      </c>
      <c r="AB17" s="125" t="s">
        <v>1</v>
      </c>
      <c r="AC17" s="125" t="s">
        <v>16</v>
      </c>
      <c r="AD17" s="125" t="s">
        <v>46</v>
      </c>
      <c r="AE17" s="125" t="s">
        <v>12</v>
      </c>
      <c r="AF17" s="125" t="s">
        <v>17</v>
      </c>
      <c r="AG17" s="125" t="s">
        <v>18</v>
      </c>
      <c r="AH17" s="125" t="s">
        <v>19</v>
      </c>
      <c r="AI17" s="125" t="s">
        <v>20</v>
      </c>
      <c r="AK17" s="125" t="s">
        <v>1</v>
      </c>
      <c r="AL17" s="125" t="s">
        <v>16</v>
      </c>
      <c r="AM17" s="125" t="s">
        <v>46</v>
      </c>
      <c r="AN17" s="125" t="s">
        <v>12</v>
      </c>
      <c r="AO17" s="125" t="s">
        <v>17</v>
      </c>
      <c r="AP17" s="125" t="s">
        <v>18</v>
      </c>
      <c r="AQ17" s="125" t="s">
        <v>19</v>
      </c>
      <c r="AR17" s="125" t="s">
        <v>20</v>
      </c>
      <c r="AT17" s="125" t="s">
        <v>1</v>
      </c>
      <c r="AU17" s="125" t="s">
        <v>16</v>
      </c>
      <c r="AV17" s="125" t="s">
        <v>46</v>
      </c>
      <c r="AW17" s="125" t="s">
        <v>12</v>
      </c>
      <c r="AX17" s="125" t="s">
        <v>17</v>
      </c>
      <c r="AY17" s="125" t="s">
        <v>18</v>
      </c>
      <c r="AZ17" s="125" t="s">
        <v>19</v>
      </c>
      <c r="BA17" s="125" t="s">
        <v>20</v>
      </c>
      <c r="BC17" s="125" t="s">
        <v>1</v>
      </c>
      <c r="BD17" s="125" t="s">
        <v>16</v>
      </c>
      <c r="BE17" s="125" t="s">
        <v>46</v>
      </c>
      <c r="BF17" s="125" t="s">
        <v>12</v>
      </c>
      <c r="BG17" s="125" t="s">
        <v>17</v>
      </c>
      <c r="BH17" s="125" t="s">
        <v>18</v>
      </c>
      <c r="BI17" s="125" t="s">
        <v>19</v>
      </c>
      <c r="BJ17" s="125" t="s">
        <v>20</v>
      </c>
    </row>
    <row r="18" spans="6:62" ht="15.5" x14ac:dyDescent="0.35">
      <c r="F18" s="172" t="str">
        <f>IF(ISBLANK(Teams!E10),"",Teams!E10)</f>
        <v/>
      </c>
      <c r="G18" s="130" t="str">
        <f>IF(F18="","",_xlfn.XLOOKUP(F18,Teams!E:E,Teams!F:F))</f>
        <v/>
      </c>
      <c r="L18" s="173" t="str">
        <f>IF(ISBLANK(Teams!H10),"",Teams!H10)</f>
        <v/>
      </c>
      <c r="M18" s="131" t="str">
        <f>IF(L18="","",_xlfn.XLOOKUP(L18,Teams!H:H,Teams!I:I))</f>
        <v/>
      </c>
      <c r="S18" s="174" t="str">
        <f>IF(ISBLANK(Teams!$H3),"",Teams!$H3)</f>
        <v>Employee #8</v>
      </c>
      <c r="T18" s="175" t="str">
        <f>_xlfn.XLOOKUP(S18,'Week 1'!$A:$A,'Week 1'!$B:$B)</f>
        <v/>
      </c>
      <c r="U18" s="175">
        <f>_xlfn.XLOOKUP(S18,'Week 1'!$A:$A,'Week 1'!$D:$D)</f>
        <v>0.72</v>
      </c>
      <c r="V18" s="176">
        <f>_xlfn.XLOOKUP(S18,'Week 1'!$A:$A,'Week 1'!$E:$E)</f>
        <v>0.93799999999999994</v>
      </c>
      <c r="W18" s="177" t="str">
        <f>_xlfn.XLOOKUP(S18,'Week 1'!$A:$A,'Week 1'!$F:$F)</f>
        <v/>
      </c>
      <c r="X18" s="177">
        <f>_xlfn.XLOOKUP(S18,'Week 1'!$A:$A,'Week 1'!$G:$G)</f>
        <v>1</v>
      </c>
      <c r="Y18" s="177">
        <f>_xlfn.XLOOKUP(S18,'Week 1'!$A:$A,'Week 1'!$H:$H)</f>
        <v>3</v>
      </c>
      <c r="Z18" s="178">
        <f t="shared" ref="Z18" si="5">SUM(W18:Y18)</f>
        <v>4</v>
      </c>
      <c r="AA18" s="179"/>
      <c r="AB18" s="174" t="str">
        <f>IF(ISBLANK(Teams!$H3),"",Teams!$H3)</f>
        <v>Employee #8</v>
      </c>
      <c r="AC18" s="175" t="str">
        <f>_xlfn.XLOOKUP(AB18,'Week 2'!$A:$A,'Week 2'!$B:$B)</f>
        <v/>
      </c>
      <c r="AD18" s="175" t="str">
        <f>_xlfn.XLOOKUP(AB18,'Week 2'!$A:$A,'Week 2'!$D:$D)</f>
        <v/>
      </c>
      <c r="AE18" s="176" t="str">
        <f>_xlfn.XLOOKUP(AB18,'Week 2'!$A:$A,'Week 2'!$E:$E)</f>
        <v/>
      </c>
      <c r="AF18" s="177">
        <f>_xlfn.XLOOKUP(AB18,'Week 2'!$A:$A,'Week 2'!$F:$F)</f>
        <v>0</v>
      </c>
      <c r="AG18" s="177">
        <f>_xlfn.XLOOKUP(AB18,'Week 2'!$A:$A,'Week 2'!$G:$G)</f>
        <v>0</v>
      </c>
      <c r="AH18" s="177">
        <f>_xlfn.XLOOKUP(AB18,'Week 2'!$A:$A,'Week 2'!$H:$H)</f>
        <v>0</v>
      </c>
      <c r="AI18" s="178">
        <f t="shared" ref="AI18" si="6">SUM(AF18:AH18)</f>
        <v>0</v>
      </c>
      <c r="AJ18" s="179"/>
      <c r="AK18" s="174" t="str">
        <f>IF(ISBLANK(Teams!$H3),"",Teams!$H3)</f>
        <v>Employee #8</v>
      </c>
      <c r="AL18" s="175" t="str">
        <f>_xlfn.XLOOKUP(AK18,'Week 3'!$A:$A,'Week 3'!$B:$B)</f>
        <v/>
      </c>
      <c r="AM18" s="175" t="str">
        <f>_xlfn.XLOOKUP(AK18,'Week 3'!$A:$A,'Week 3'!$D:$D)</f>
        <v/>
      </c>
      <c r="AN18" s="176" t="str">
        <f>_xlfn.XLOOKUP(AK18,'Week 3'!$A:$A,'Week 3'!$E:$E)</f>
        <v/>
      </c>
      <c r="AO18" s="177">
        <f>_xlfn.XLOOKUP(AK18,'Week 3'!$A:$A,'Week 3'!$F:$F)</f>
        <v>0</v>
      </c>
      <c r="AP18" s="177">
        <f>_xlfn.XLOOKUP(AK18,'Week 3'!$A:$A,'Week 3'!$G:$G)</f>
        <v>0</v>
      </c>
      <c r="AQ18" s="177">
        <f>_xlfn.XLOOKUP(AK18,'Week 3'!$A:$A,'Week 3'!$H:$H)</f>
        <v>0</v>
      </c>
      <c r="AR18" s="178">
        <f t="shared" ref="AR18:AR27" si="7">SUM(AO18:AQ18)</f>
        <v>0</v>
      </c>
      <c r="AS18" s="179"/>
      <c r="AT18" s="174" t="str">
        <f>IF(ISBLANK(Teams!$H3),"",Teams!$H3)</f>
        <v>Employee #8</v>
      </c>
      <c r="AU18" s="175" t="str">
        <f>_xlfn.XLOOKUP(AT18,'Week 4'!$A:$A,'Week 4'!$B:$B)</f>
        <v/>
      </c>
      <c r="AV18" s="175" t="str">
        <f>_xlfn.XLOOKUP(AT18,'Week 4'!$A:$A,'Week 4'!$D:$D)</f>
        <v/>
      </c>
      <c r="AW18" s="176" t="str">
        <f>_xlfn.XLOOKUP(AT18,'Week 4'!$A:$A,'Week 4'!$E:$E)</f>
        <v/>
      </c>
      <c r="AX18" s="177">
        <f>_xlfn.XLOOKUP(AT18,'Week 4'!$A:$A,'Week 4'!$F:$F)</f>
        <v>0</v>
      </c>
      <c r="AY18" s="177">
        <f>_xlfn.XLOOKUP(AT18,'Week 4'!$A:$A,'Week 4'!$G:$G)</f>
        <v>0</v>
      </c>
      <c r="AZ18" s="177">
        <f>_xlfn.XLOOKUP(AT18,'Week 4'!$A:$A,'Week 4'!$H:$H)</f>
        <v>0</v>
      </c>
      <c r="BA18" s="178">
        <f t="shared" ref="BA18:BA27" si="8">SUM(AX18:AZ18)</f>
        <v>0</v>
      </c>
      <c r="BB18" s="179"/>
      <c r="BC18" s="174" t="str">
        <f>IF(ISBLANK(Teams!$H3),"",Teams!$H3)</f>
        <v>Employee #8</v>
      </c>
      <c r="BD18" s="175" t="str">
        <f>_xlfn.XLOOKUP(BC18,'Week 5'!$A:$A,'Week 5'!$B:$B)</f>
        <v/>
      </c>
      <c r="BE18" s="175" t="str">
        <f>_xlfn.XLOOKUP(BC18,'Week 5'!$A:$A,'Week 5'!$D:$D)</f>
        <v/>
      </c>
      <c r="BF18" s="176" t="str">
        <f>_xlfn.XLOOKUP(BC18,'Week 5'!$A:$A,'Week 5'!$E:$E)</f>
        <v/>
      </c>
      <c r="BG18" s="177">
        <f>_xlfn.XLOOKUP(BC18,'Week 5'!$A:$A,'Week 5'!$F:$F)</f>
        <v>0</v>
      </c>
      <c r="BH18" s="177">
        <f>_xlfn.XLOOKUP(BC18,'Week 5'!$A:$A,'Week 5'!$G:$G)</f>
        <v>0</v>
      </c>
      <c r="BI18" s="177">
        <f>_xlfn.XLOOKUP(BC18,'Week 5'!$A:$A,'Week 5'!$H:$H)</f>
        <v>0</v>
      </c>
      <c r="BJ18" s="178">
        <f t="shared" ref="BJ18:BJ27" si="9">SUM(BG18:BI18)</f>
        <v>0</v>
      </c>
    </row>
    <row r="19" spans="6:62" ht="15.5" x14ac:dyDescent="0.35">
      <c r="F19" s="172" t="str">
        <f>IF(ISBLANK(Teams!E11),"",Teams!E11)</f>
        <v/>
      </c>
      <c r="G19" s="130" t="str">
        <f>IF(F19="","",_xlfn.XLOOKUP(F19,Teams!E:E,Teams!F:F))</f>
        <v/>
      </c>
      <c r="L19" s="173" t="str">
        <f>IF(ISBLANK(Teams!H11),"",Teams!H11)</f>
        <v/>
      </c>
      <c r="M19" s="131" t="str">
        <f>IF(L19="","",_xlfn.XLOOKUP(L19,Teams!H:H,Teams!I:I))</f>
        <v/>
      </c>
      <c r="S19" s="174" t="str">
        <f>IF(ISBLANK(Teams!$H4),"",Teams!$H4)</f>
        <v>Employee #9</v>
      </c>
      <c r="T19" s="175" t="str">
        <f>_xlfn.XLOOKUP(S19,'Week 1'!$A:$A,'Week 1'!$B:$B)</f>
        <v/>
      </c>
      <c r="U19" s="175">
        <f>_xlfn.XLOOKUP(S19,'Week 1'!$A:$A,'Week 1'!$D:$D)</f>
        <v>0</v>
      </c>
      <c r="V19" s="176">
        <f>_xlfn.XLOOKUP(S19,'Week 1'!$A:$A,'Week 1'!$E:$E)</f>
        <v>0</v>
      </c>
      <c r="W19" s="177" t="str">
        <f>_xlfn.XLOOKUP(S19,'Week 1'!$A:$A,'Week 1'!$F:$F)</f>
        <v/>
      </c>
      <c r="X19" s="177">
        <f>_xlfn.XLOOKUP(S19,'Week 1'!$A:$A,'Week 1'!$G:$G)</f>
        <v>0</v>
      </c>
      <c r="Y19" s="177">
        <f>_xlfn.XLOOKUP(S19,'Week 1'!$A:$A,'Week 1'!$H:$H)</f>
        <v>0</v>
      </c>
      <c r="Z19" s="178">
        <f t="shared" ref="Z19:Z27" si="10">SUM(W19:Y19)</f>
        <v>0</v>
      </c>
      <c r="AA19" s="179"/>
      <c r="AB19" s="174" t="str">
        <f>IF(ISBLANK(Teams!$H4),"",Teams!$H4)</f>
        <v>Employee #9</v>
      </c>
      <c r="AC19" s="175" t="str">
        <f>_xlfn.XLOOKUP(AB19,'Week 2'!$A:$A,'Week 2'!$B:$B)</f>
        <v/>
      </c>
      <c r="AD19" s="175" t="str">
        <f>_xlfn.XLOOKUP(AB19,'Week 2'!$A:$A,'Week 2'!$D:$D)</f>
        <v/>
      </c>
      <c r="AE19" s="176" t="str">
        <f>_xlfn.XLOOKUP(AB19,'Week 2'!$A:$A,'Week 2'!$E:$E)</f>
        <v/>
      </c>
      <c r="AF19" s="177">
        <f>_xlfn.XLOOKUP(AB19,'Week 2'!$A:$A,'Week 2'!$F:$F)</f>
        <v>0</v>
      </c>
      <c r="AG19" s="177">
        <f>_xlfn.XLOOKUP(AB19,'Week 2'!$A:$A,'Week 2'!$G:$G)</f>
        <v>0</v>
      </c>
      <c r="AH19" s="177">
        <f>_xlfn.XLOOKUP(AB19,'Week 2'!$A:$A,'Week 2'!$H:$H)</f>
        <v>0</v>
      </c>
      <c r="AI19" s="178">
        <f t="shared" ref="AI19:AI27" si="11">SUM(AF19:AH19)</f>
        <v>0</v>
      </c>
      <c r="AJ19" s="179"/>
      <c r="AK19" s="174" t="str">
        <f>IF(ISBLANK(Teams!$H4),"",Teams!$H4)</f>
        <v>Employee #9</v>
      </c>
      <c r="AL19" s="175" t="str">
        <f>_xlfn.XLOOKUP(AK19,'Week 3'!$A:$A,'Week 3'!$B:$B)</f>
        <v/>
      </c>
      <c r="AM19" s="175" t="str">
        <f>_xlfn.XLOOKUP(AK19,'Week 3'!$A:$A,'Week 3'!$D:$D)</f>
        <v/>
      </c>
      <c r="AN19" s="176" t="str">
        <f>_xlfn.XLOOKUP(AK19,'Week 3'!$A:$A,'Week 3'!$E:$E)</f>
        <v/>
      </c>
      <c r="AO19" s="177">
        <f>_xlfn.XLOOKUP(AK19,'Week 3'!$A:$A,'Week 3'!$F:$F)</f>
        <v>0</v>
      </c>
      <c r="AP19" s="177">
        <f>_xlfn.XLOOKUP(AK19,'Week 3'!$A:$A,'Week 3'!$G:$G)</f>
        <v>0</v>
      </c>
      <c r="AQ19" s="177">
        <f>_xlfn.XLOOKUP(AK19,'Week 3'!$A:$A,'Week 3'!$H:$H)</f>
        <v>0</v>
      </c>
      <c r="AR19" s="178">
        <f t="shared" si="7"/>
        <v>0</v>
      </c>
      <c r="AS19" s="179"/>
      <c r="AT19" s="174" t="str">
        <f>IF(ISBLANK(Teams!$H4),"",Teams!$H4)</f>
        <v>Employee #9</v>
      </c>
      <c r="AU19" s="175" t="str">
        <f>_xlfn.XLOOKUP(AT19,'Week 4'!$A:$A,'Week 4'!$B:$B)</f>
        <v/>
      </c>
      <c r="AV19" s="175" t="str">
        <f>_xlfn.XLOOKUP(AT19,'Week 4'!$A:$A,'Week 4'!$D:$D)</f>
        <v/>
      </c>
      <c r="AW19" s="176" t="str">
        <f>_xlfn.XLOOKUP(AT19,'Week 4'!$A:$A,'Week 4'!$E:$E)</f>
        <v/>
      </c>
      <c r="AX19" s="177">
        <f>_xlfn.XLOOKUP(AT19,'Week 4'!$A:$A,'Week 4'!$F:$F)</f>
        <v>0</v>
      </c>
      <c r="AY19" s="177">
        <f>_xlfn.XLOOKUP(AT19,'Week 4'!$A:$A,'Week 4'!$G:$G)</f>
        <v>0</v>
      </c>
      <c r="AZ19" s="177">
        <f>_xlfn.XLOOKUP(AT19,'Week 4'!$A:$A,'Week 4'!$H:$H)</f>
        <v>0</v>
      </c>
      <c r="BA19" s="178">
        <f t="shared" si="8"/>
        <v>0</v>
      </c>
      <c r="BB19" s="179"/>
      <c r="BC19" s="174" t="str">
        <f>IF(ISBLANK(Teams!$H4),"",Teams!$H4)</f>
        <v>Employee #9</v>
      </c>
      <c r="BD19" s="175" t="str">
        <f>_xlfn.XLOOKUP(BC19,'Week 5'!$A:$A,'Week 5'!$B:$B)</f>
        <v/>
      </c>
      <c r="BE19" s="175" t="str">
        <f>_xlfn.XLOOKUP(BC19,'Week 5'!$A:$A,'Week 5'!$D:$D)</f>
        <v/>
      </c>
      <c r="BF19" s="176" t="str">
        <f>_xlfn.XLOOKUP(BC19,'Week 5'!$A:$A,'Week 5'!$E:$E)</f>
        <v/>
      </c>
      <c r="BG19" s="177">
        <f>_xlfn.XLOOKUP(BC19,'Week 5'!$A:$A,'Week 5'!$F:$F)</f>
        <v>0</v>
      </c>
      <c r="BH19" s="177">
        <f>_xlfn.XLOOKUP(BC19,'Week 5'!$A:$A,'Week 5'!$G:$G)</f>
        <v>0</v>
      </c>
      <c r="BI19" s="177">
        <f>_xlfn.XLOOKUP(BC19,'Week 5'!$A:$A,'Week 5'!$H:$H)</f>
        <v>0</v>
      </c>
      <c r="BJ19" s="178">
        <f t="shared" si="9"/>
        <v>0</v>
      </c>
    </row>
    <row r="20" spans="6:62" ht="15.5" x14ac:dyDescent="0.35">
      <c r="F20" s="172" t="str">
        <f>IF(ISBLANK(Teams!E12),"",Teams!E12)</f>
        <v/>
      </c>
      <c r="G20" s="130" t="str">
        <f>IF(F20="","",_xlfn.XLOOKUP(F20,Teams!E:E,Teams!F:F))</f>
        <v/>
      </c>
      <c r="L20" s="173" t="str">
        <f>IF(ISBLANK(Teams!H12),"",Teams!H12)</f>
        <v/>
      </c>
      <c r="M20" s="131" t="str">
        <f>IF(L20="","",_xlfn.XLOOKUP(L20,Teams!H:H,Teams!I:I))</f>
        <v/>
      </c>
      <c r="S20" s="174" t="str">
        <f>IF(ISBLANK(Teams!$H5),"",Teams!$H5)</f>
        <v>Employee #10</v>
      </c>
      <c r="T20" s="175" t="str">
        <f>_xlfn.XLOOKUP(S20,'Week 1'!$A:$A,'Week 1'!$B:$B)</f>
        <v/>
      </c>
      <c r="U20" s="175">
        <f>_xlfn.XLOOKUP(S20,'Week 1'!$A:$A,'Week 1'!$D:$D)</f>
        <v>0.7138461538461538</v>
      </c>
      <c r="V20" s="176">
        <f>_xlfn.XLOOKUP(S20,'Week 1'!$A:$A,'Week 1'!$E:$E)</f>
        <v>0.90600000000000003</v>
      </c>
      <c r="W20" s="177" t="str">
        <f>_xlfn.XLOOKUP(S20,'Week 1'!$A:$A,'Week 1'!$F:$F)</f>
        <v/>
      </c>
      <c r="X20" s="177">
        <f>_xlfn.XLOOKUP(S20,'Week 1'!$A:$A,'Week 1'!$G:$G)</f>
        <v>1</v>
      </c>
      <c r="Y20" s="177">
        <f>_xlfn.XLOOKUP(S20,'Week 1'!$A:$A,'Week 1'!$H:$H)</f>
        <v>3</v>
      </c>
      <c r="Z20" s="178">
        <f t="shared" si="10"/>
        <v>4</v>
      </c>
      <c r="AA20" s="179"/>
      <c r="AB20" s="174" t="str">
        <f>IF(ISBLANK(Teams!$H5),"",Teams!$H5)</f>
        <v>Employee #10</v>
      </c>
      <c r="AC20" s="175" t="str">
        <f>_xlfn.XLOOKUP(AB20,'Week 2'!$A:$A,'Week 2'!$B:$B)</f>
        <v/>
      </c>
      <c r="AD20" s="175" t="str">
        <f>_xlfn.XLOOKUP(AB20,'Week 2'!$A:$A,'Week 2'!$D:$D)</f>
        <v/>
      </c>
      <c r="AE20" s="176" t="str">
        <f>_xlfn.XLOOKUP(AB20,'Week 2'!$A:$A,'Week 2'!$E:$E)</f>
        <v/>
      </c>
      <c r="AF20" s="177">
        <f>_xlfn.XLOOKUP(AB20,'Week 2'!$A:$A,'Week 2'!$F:$F)</f>
        <v>0</v>
      </c>
      <c r="AG20" s="177">
        <f>_xlfn.XLOOKUP(AB20,'Week 2'!$A:$A,'Week 2'!$G:$G)</f>
        <v>0</v>
      </c>
      <c r="AH20" s="177">
        <f>_xlfn.XLOOKUP(AB20,'Week 2'!$A:$A,'Week 2'!$H:$H)</f>
        <v>0</v>
      </c>
      <c r="AI20" s="178">
        <f t="shared" si="11"/>
        <v>0</v>
      </c>
      <c r="AJ20" s="179"/>
      <c r="AK20" s="174" t="str">
        <f>IF(ISBLANK(Teams!$H5),"",Teams!$H5)</f>
        <v>Employee #10</v>
      </c>
      <c r="AL20" s="175" t="str">
        <f>_xlfn.XLOOKUP(AK20,'Week 3'!$A:$A,'Week 3'!$B:$B)</f>
        <v/>
      </c>
      <c r="AM20" s="175" t="str">
        <f>_xlfn.XLOOKUP(AK20,'Week 3'!$A:$A,'Week 3'!$D:$D)</f>
        <v/>
      </c>
      <c r="AN20" s="176" t="str">
        <f>_xlfn.XLOOKUP(AK20,'Week 3'!$A:$A,'Week 3'!$E:$E)</f>
        <v/>
      </c>
      <c r="AO20" s="177">
        <f>_xlfn.XLOOKUP(AK20,'Week 3'!$A:$A,'Week 3'!$F:$F)</f>
        <v>0</v>
      </c>
      <c r="AP20" s="177">
        <f>_xlfn.XLOOKUP(AK20,'Week 3'!$A:$A,'Week 3'!$G:$G)</f>
        <v>0</v>
      </c>
      <c r="AQ20" s="177">
        <f>_xlfn.XLOOKUP(AK20,'Week 3'!$A:$A,'Week 3'!$H:$H)</f>
        <v>0</v>
      </c>
      <c r="AR20" s="178">
        <f t="shared" si="7"/>
        <v>0</v>
      </c>
      <c r="AS20" s="179"/>
      <c r="AT20" s="174" t="str">
        <f>IF(ISBLANK(Teams!$H5),"",Teams!$H5)</f>
        <v>Employee #10</v>
      </c>
      <c r="AU20" s="175" t="str">
        <f>_xlfn.XLOOKUP(AT20,'Week 4'!$A:$A,'Week 4'!$B:$B)</f>
        <v/>
      </c>
      <c r="AV20" s="175" t="str">
        <f>_xlfn.XLOOKUP(AT20,'Week 4'!$A:$A,'Week 4'!$D:$D)</f>
        <v/>
      </c>
      <c r="AW20" s="176" t="str">
        <f>_xlfn.XLOOKUP(AT20,'Week 4'!$A:$A,'Week 4'!$E:$E)</f>
        <v/>
      </c>
      <c r="AX20" s="177">
        <f>_xlfn.XLOOKUP(AT20,'Week 4'!$A:$A,'Week 4'!$F:$F)</f>
        <v>0</v>
      </c>
      <c r="AY20" s="177">
        <f>_xlfn.XLOOKUP(AT20,'Week 4'!$A:$A,'Week 4'!$G:$G)</f>
        <v>0</v>
      </c>
      <c r="AZ20" s="177">
        <f>_xlfn.XLOOKUP(AT20,'Week 4'!$A:$A,'Week 4'!$H:$H)</f>
        <v>0</v>
      </c>
      <c r="BA20" s="178">
        <f t="shared" si="8"/>
        <v>0</v>
      </c>
      <c r="BB20" s="179"/>
      <c r="BC20" s="174" t="str">
        <f>IF(ISBLANK(Teams!$H5),"",Teams!$H5)</f>
        <v>Employee #10</v>
      </c>
      <c r="BD20" s="175" t="str">
        <f>_xlfn.XLOOKUP(BC20,'Week 5'!$A:$A,'Week 5'!$B:$B)</f>
        <v/>
      </c>
      <c r="BE20" s="175" t="str">
        <f>_xlfn.XLOOKUP(BC20,'Week 5'!$A:$A,'Week 5'!$D:$D)</f>
        <v/>
      </c>
      <c r="BF20" s="176" t="str">
        <f>_xlfn.XLOOKUP(BC20,'Week 5'!$A:$A,'Week 5'!$E:$E)</f>
        <v/>
      </c>
      <c r="BG20" s="177">
        <f>_xlfn.XLOOKUP(BC20,'Week 5'!$A:$A,'Week 5'!$F:$F)</f>
        <v>0</v>
      </c>
      <c r="BH20" s="177">
        <f>_xlfn.XLOOKUP(BC20,'Week 5'!$A:$A,'Week 5'!$G:$G)</f>
        <v>0</v>
      </c>
      <c r="BI20" s="177">
        <f>_xlfn.XLOOKUP(BC20,'Week 5'!$A:$A,'Week 5'!$H:$H)</f>
        <v>0</v>
      </c>
      <c r="BJ20" s="178">
        <f t="shared" si="9"/>
        <v>0</v>
      </c>
    </row>
    <row r="21" spans="6:62" ht="15.5" x14ac:dyDescent="0.35">
      <c r="F21" s="172" t="str">
        <f>IF(ISBLANK(Teams!E13),"",Teams!E13)</f>
        <v/>
      </c>
      <c r="G21" s="130" t="str">
        <f>IF(F21="","",_xlfn.XLOOKUP(F21,Teams!E:E,Teams!F:F))</f>
        <v/>
      </c>
      <c r="L21" s="173" t="str">
        <f>IF(ISBLANK(Teams!H13),"",Teams!H13)</f>
        <v/>
      </c>
      <c r="M21" s="131" t="str">
        <f>IF(L21="","",_xlfn.XLOOKUP(L21,Teams!H:H,Teams!I:I))</f>
        <v/>
      </c>
      <c r="S21" s="174" t="str">
        <f>IF(ISBLANK(Teams!$H6),"",Teams!$H6)</f>
        <v>Employee #11</v>
      </c>
      <c r="T21" s="175" t="str">
        <f>_xlfn.XLOOKUP(S21,'Week 1'!$A:$A,'Week 1'!$B:$B)</f>
        <v/>
      </c>
      <c r="U21" s="175">
        <f>_xlfn.XLOOKUP(S21,'Week 1'!$A:$A,'Week 1'!$D:$D)</f>
        <v>1.0553846153846154</v>
      </c>
      <c r="V21" s="176">
        <f>_xlfn.XLOOKUP(S21,'Week 1'!$A:$A,'Week 1'!$E:$E)</f>
        <v>0.91</v>
      </c>
      <c r="W21" s="177" t="str">
        <f>_xlfn.XLOOKUP(S21,'Week 1'!$A:$A,'Week 1'!$F:$F)</f>
        <v/>
      </c>
      <c r="X21" s="177">
        <f>_xlfn.XLOOKUP(S21,'Week 1'!$A:$A,'Week 1'!$G:$G)</f>
        <v>2</v>
      </c>
      <c r="Y21" s="177">
        <f>_xlfn.XLOOKUP(S21,'Week 1'!$A:$A,'Week 1'!$H:$H)</f>
        <v>3</v>
      </c>
      <c r="Z21" s="178">
        <f t="shared" si="10"/>
        <v>5</v>
      </c>
      <c r="AA21" s="179"/>
      <c r="AB21" s="174" t="str">
        <f>IF(ISBLANK(Teams!$H6),"",Teams!$H6)</f>
        <v>Employee #11</v>
      </c>
      <c r="AC21" s="175" t="str">
        <f>_xlfn.XLOOKUP(AB21,'Week 2'!$A:$A,'Week 2'!$B:$B)</f>
        <v/>
      </c>
      <c r="AD21" s="175" t="str">
        <f>_xlfn.XLOOKUP(AB21,'Week 2'!$A:$A,'Week 2'!$D:$D)</f>
        <v/>
      </c>
      <c r="AE21" s="176" t="str">
        <f>_xlfn.XLOOKUP(AB21,'Week 2'!$A:$A,'Week 2'!$E:$E)</f>
        <v/>
      </c>
      <c r="AF21" s="177">
        <f>_xlfn.XLOOKUP(AB21,'Week 2'!$A:$A,'Week 2'!$F:$F)</f>
        <v>0</v>
      </c>
      <c r="AG21" s="177">
        <f>_xlfn.XLOOKUP(AB21,'Week 2'!$A:$A,'Week 2'!$G:$G)</f>
        <v>0</v>
      </c>
      <c r="AH21" s="177">
        <f>_xlfn.XLOOKUP(AB21,'Week 2'!$A:$A,'Week 2'!$H:$H)</f>
        <v>0</v>
      </c>
      <c r="AI21" s="178">
        <f t="shared" si="11"/>
        <v>0</v>
      </c>
      <c r="AJ21" s="179"/>
      <c r="AK21" s="174" t="str">
        <f>IF(ISBLANK(Teams!$H6),"",Teams!$H6)</f>
        <v>Employee #11</v>
      </c>
      <c r="AL21" s="175" t="str">
        <f>_xlfn.XLOOKUP(AK21,'Week 3'!$A:$A,'Week 3'!$B:$B)</f>
        <v/>
      </c>
      <c r="AM21" s="175" t="str">
        <f>_xlfn.XLOOKUP(AK21,'Week 3'!$A:$A,'Week 3'!$D:$D)</f>
        <v/>
      </c>
      <c r="AN21" s="176" t="str">
        <f>_xlfn.XLOOKUP(AK21,'Week 3'!$A:$A,'Week 3'!$E:$E)</f>
        <v/>
      </c>
      <c r="AO21" s="177">
        <f>_xlfn.XLOOKUP(AK21,'Week 3'!$A:$A,'Week 3'!$F:$F)</f>
        <v>0</v>
      </c>
      <c r="AP21" s="177">
        <f>_xlfn.XLOOKUP(AK21,'Week 3'!$A:$A,'Week 3'!$G:$G)</f>
        <v>0</v>
      </c>
      <c r="AQ21" s="177">
        <f>_xlfn.XLOOKUP(AK21,'Week 3'!$A:$A,'Week 3'!$H:$H)</f>
        <v>0</v>
      </c>
      <c r="AR21" s="178">
        <f t="shared" si="7"/>
        <v>0</v>
      </c>
      <c r="AS21" s="179"/>
      <c r="AT21" s="174" t="str">
        <f>IF(ISBLANK(Teams!$H6),"",Teams!$H6)</f>
        <v>Employee #11</v>
      </c>
      <c r="AU21" s="175" t="str">
        <f>_xlfn.XLOOKUP(AT21,'Week 4'!$A:$A,'Week 4'!$B:$B)</f>
        <v/>
      </c>
      <c r="AV21" s="175" t="str">
        <f>_xlfn.XLOOKUP(AT21,'Week 4'!$A:$A,'Week 4'!$D:$D)</f>
        <v/>
      </c>
      <c r="AW21" s="176" t="str">
        <f>_xlfn.XLOOKUP(AT21,'Week 4'!$A:$A,'Week 4'!$E:$E)</f>
        <v/>
      </c>
      <c r="AX21" s="177">
        <f>_xlfn.XLOOKUP(AT21,'Week 4'!$A:$A,'Week 4'!$F:$F)</f>
        <v>0</v>
      </c>
      <c r="AY21" s="177">
        <f>_xlfn.XLOOKUP(AT21,'Week 4'!$A:$A,'Week 4'!$G:$G)</f>
        <v>0</v>
      </c>
      <c r="AZ21" s="177">
        <f>_xlfn.XLOOKUP(AT21,'Week 4'!$A:$A,'Week 4'!$H:$H)</f>
        <v>0</v>
      </c>
      <c r="BA21" s="178">
        <f t="shared" si="8"/>
        <v>0</v>
      </c>
      <c r="BB21" s="179"/>
      <c r="BC21" s="174" t="str">
        <f>IF(ISBLANK(Teams!$H6),"",Teams!$H6)</f>
        <v>Employee #11</v>
      </c>
      <c r="BD21" s="175" t="str">
        <f>_xlfn.XLOOKUP(BC21,'Week 5'!$A:$A,'Week 5'!$B:$B)</f>
        <v/>
      </c>
      <c r="BE21" s="175" t="str">
        <f>_xlfn.XLOOKUP(BC21,'Week 5'!$A:$A,'Week 5'!$D:$D)</f>
        <v/>
      </c>
      <c r="BF21" s="176" t="str">
        <f>_xlfn.XLOOKUP(BC21,'Week 5'!$A:$A,'Week 5'!$E:$E)</f>
        <v/>
      </c>
      <c r="BG21" s="177">
        <f>_xlfn.XLOOKUP(BC21,'Week 5'!$A:$A,'Week 5'!$F:$F)</f>
        <v>0</v>
      </c>
      <c r="BH21" s="177">
        <f>_xlfn.XLOOKUP(BC21,'Week 5'!$A:$A,'Week 5'!$G:$G)</f>
        <v>0</v>
      </c>
      <c r="BI21" s="177">
        <f>_xlfn.XLOOKUP(BC21,'Week 5'!$A:$A,'Week 5'!$H:$H)</f>
        <v>0</v>
      </c>
      <c r="BJ21" s="178">
        <f t="shared" si="9"/>
        <v>0</v>
      </c>
    </row>
    <row r="22" spans="6:62" ht="15.5" x14ac:dyDescent="0.35">
      <c r="F22" s="172" t="str">
        <f>IF(ISBLANK(Teams!E14),"",Teams!E14)</f>
        <v/>
      </c>
      <c r="G22" s="130" t="str">
        <f>IF(F22="","",_xlfn.XLOOKUP(F22,Teams!E:E,Teams!F:F))</f>
        <v/>
      </c>
      <c r="L22" s="173" t="str">
        <f>IF(ISBLANK(Teams!H14),"",Teams!H14)</f>
        <v/>
      </c>
      <c r="M22" s="131" t="str">
        <f>IF(L22="","",_xlfn.XLOOKUP(L22,Teams!H:H,Teams!I:I))</f>
        <v/>
      </c>
      <c r="S22" s="174" t="str">
        <f>IF(ISBLANK(Teams!$H7),"",Teams!$H7)</f>
        <v>Employee #12</v>
      </c>
      <c r="T22" s="175" t="str">
        <f>_xlfn.XLOOKUP(S22,'Week 1'!$A:$A,'Week 1'!$B:$B)</f>
        <v/>
      </c>
      <c r="U22" s="175">
        <f>_xlfn.XLOOKUP(S22,'Week 1'!$A:$A,'Week 1'!$D:$D)</f>
        <v>0.68923076923076931</v>
      </c>
      <c r="V22" s="176">
        <f>_xlfn.XLOOKUP(S22,'Week 1'!$A:$A,'Week 1'!$E:$E)</f>
        <v>0.94</v>
      </c>
      <c r="W22" s="177" t="str">
        <f>_xlfn.XLOOKUP(S22,'Week 1'!$A:$A,'Week 1'!$F:$F)</f>
        <v/>
      </c>
      <c r="X22" s="177">
        <f>_xlfn.XLOOKUP(S22,'Week 1'!$A:$A,'Week 1'!$G:$G)</f>
        <v>1</v>
      </c>
      <c r="Y22" s="177">
        <f>_xlfn.XLOOKUP(S22,'Week 1'!$A:$A,'Week 1'!$H:$H)</f>
        <v>3</v>
      </c>
      <c r="Z22" s="178">
        <f t="shared" si="10"/>
        <v>4</v>
      </c>
      <c r="AA22" s="179"/>
      <c r="AB22" s="174" t="str">
        <f>IF(ISBLANK(Teams!$H7),"",Teams!$H7)</f>
        <v>Employee #12</v>
      </c>
      <c r="AC22" s="175" t="str">
        <f>_xlfn.XLOOKUP(AB22,'Week 2'!$A:$A,'Week 2'!$B:$B)</f>
        <v/>
      </c>
      <c r="AD22" s="175" t="str">
        <f>_xlfn.XLOOKUP(AB22,'Week 2'!$A:$A,'Week 2'!$D:$D)</f>
        <v/>
      </c>
      <c r="AE22" s="176" t="str">
        <f>_xlfn.XLOOKUP(AB22,'Week 2'!$A:$A,'Week 2'!$E:$E)</f>
        <v/>
      </c>
      <c r="AF22" s="177">
        <f>_xlfn.XLOOKUP(AB22,'Week 2'!$A:$A,'Week 2'!$F:$F)</f>
        <v>0</v>
      </c>
      <c r="AG22" s="177">
        <f>_xlfn.XLOOKUP(AB22,'Week 2'!$A:$A,'Week 2'!$G:$G)</f>
        <v>0</v>
      </c>
      <c r="AH22" s="177">
        <f>_xlfn.XLOOKUP(AB22,'Week 2'!$A:$A,'Week 2'!$H:$H)</f>
        <v>0</v>
      </c>
      <c r="AI22" s="178">
        <f t="shared" si="11"/>
        <v>0</v>
      </c>
      <c r="AJ22" s="179"/>
      <c r="AK22" s="174" t="str">
        <f>IF(ISBLANK(Teams!$H7),"",Teams!$H7)</f>
        <v>Employee #12</v>
      </c>
      <c r="AL22" s="175" t="str">
        <f>_xlfn.XLOOKUP(AK22,'Week 3'!$A:$A,'Week 3'!$B:$B)</f>
        <v/>
      </c>
      <c r="AM22" s="175" t="str">
        <f>_xlfn.XLOOKUP(AK22,'Week 3'!$A:$A,'Week 3'!$D:$D)</f>
        <v/>
      </c>
      <c r="AN22" s="176" t="str">
        <f>_xlfn.XLOOKUP(AK22,'Week 3'!$A:$A,'Week 3'!$E:$E)</f>
        <v/>
      </c>
      <c r="AO22" s="177">
        <f>_xlfn.XLOOKUP(AK22,'Week 3'!$A:$A,'Week 3'!$F:$F)</f>
        <v>0</v>
      </c>
      <c r="AP22" s="177">
        <f>_xlfn.XLOOKUP(AK22,'Week 3'!$A:$A,'Week 3'!$G:$G)</f>
        <v>0</v>
      </c>
      <c r="AQ22" s="177">
        <f>_xlfn.XLOOKUP(AK22,'Week 3'!$A:$A,'Week 3'!$H:$H)</f>
        <v>0</v>
      </c>
      <c r="AR22" s="178">
        <f t="shared" si="7"/>
        <v>0</v>
      </c>
      <c r="AS22" s="179"/>
      <c r="AT22" s="174" t="str">
        <f>IF(ISBLANK(Teams!$H7),"",Teams!$H7)</f>
        <v>Employee #12</v>
      </c>
      <c r="AU22" s="175" t="str">
        <f>_xlfn.XLOOKUP(AT22,'Week 4'!$A:$A,'Week 4'!$B:$B)</f>
        <v/>
      </c>
      <c r="AV22" s="175" t="str">
        <f>_xlfn.XLOOKUP(AT22,'Week 4'!$A:$A,'Week 4'!$D:$D)</f>
        <v/>
      </c>
      <c r="AW22" s="176" t="str">
        <f>_xlfn.XLOOKUP(AT22,'Week 4'!$A:$A,'Week 4'!$E:$E)</f>
        <v/>
      </c>
      <c r="AX22" s="177">
        <f>_xlfn.XLOOKUP(AT22,'Week 4'!$A:$A,'Week 4'!$F:$F)</f>
        <v>0</v>
      </c>
      <c r="AY22" s="177">
        <f>_xlfn.XLOOKUP(AT22,'Week 4'!$A:$A,'Week 4'!$G:$G)</f>
        <v>0</v>
      </c>
      <c r="AZ22" s="177">
        <f>_xlfn.XLOOKUP(AT22,'Week 4'!$A:$A,'Week 4'!$H:$H)</f>
        <v>0</v>
      </c>
      <c r="BA22" s="178">
        <f t="shared" si="8"/>
        <v>0</v>
      </c>
      <c r="BB22" s="179"/>
      <c r="BC22" s="174" t="str">
        <f>IF(ISBLANK(Teams!$H7),"",Teams!$H7)</f>
        <v>Employee #12</v>
      </c>
      <c r="BD22" s="175" t="str">
        <f>_xlfn.XLOOKUP(BC22,'Week 5'!$A:$A,'Week 5'!$B:$B)</f>
        <v/>
      </c>
      <c r="BE22" s="175" t="str">
        <f>_xlfn.XLOOKUP(BC22,'Week 5'!$A:$A,'Week 5'!$D:$D)</f>
        <v/>
      </c>
      <c r="BF22" s="176" t="str">
        <f>_xlfn.XLOOKUP(BC22,'Week 5'!$A:$A,'Week 5'!$E:$E)</f>
        <v/>
      </c>
      <c r="BG22" s="177">
        <f>_xlfn.XLOOKUP(BC22,'Week 5'!$A:$A,'Week 5'!$F:$F)</f>
        <v>0</v>
      </c>
      <c r="BH22" s="177">
        <f>_xlfn.XLOOKUP(BC22,'Week 5'!$A:$A,'Week 5'!$G:$G)</f>
        <v>0</v>
      </c>
      <c r="BI22" s="177">
        <f>_xlfn.XLOOKUP(BC22,'Week 5'!$A:$A,'Week 5'!$H:$H)</f>
        <v>0</v>
      </c>
      <c r="BJ22" s="178">
        <f t="shared" si="9"/>
        <v>0</v>
      </c>
    </row>
    <row r="23" spans="6:62" ht="16" thickBot="1" x14ac:dyDescent="0.4">
      <c r="F23" s="133" t="s">
        <v>29</v>
      </c>
      <c r="G23" s="134">
        <f>SUM(G11:G22)</f>
        <v>27</v>
      </c>
      <c r="L23" s="135" t="s">
        <v>29</v>
      </c>
      <c r="M23" s="136">
        <f>SUM(M11:M22)</f>
        <v>22</v>
      </c>
      <c r="S23" s="174" t="str">
        <f>IF(ISBLANK(Teams!$H8),"",Teams!$H8)</f>
        <v>Employee #13</v>
      </c>
      <c r="T23" s="175" t="str">
        <f>_xlfn.XLOOKUP(S23,'Week 1'!$A:$A,'Week 1'!$B:$B)</f>
        <v/>
      </c>
      <c r="U23" s="175">
        <f>_xlfn.XLOOKUP(S23,'Week 1'!$A:$A,'Week 1'!$D:$D)</f>
        <v>0</v>
      </c>
      <c r="V23" s="176">
        <f>_xlfn.XLOOKUP(S23,'Week 1'!$A:$A,'Week 1'!$E:$E)</f>
        <v>0.81799999999999995</v>
      </c>
      <c r="W23" s="177" t="str">
        <f>_xlfn.XLOOKUP(S23,'Week 1'!$A:$A,'Week 1'!$F:$F)</f>
        <v/>
      </c>
      <c r="X23" s="177">
        <f>_xlfn.XLOOKUP(S23,'Week 1'!$A:$A,'Week 1'!$G:$G)</f>
        <v>0</v>
      </c>
      <c r="Y23" s="177">
        <f>_xlfn.XLOOKUP(S23,'Week 1'!$A:$A,'Week 1'!$H:$H)</f>
        <v>0</v>
      </c>
      <c r="Z23" s="178">
        <f t="shared" si="10"/>
        <v>0</v>
      </c>
      <c r="AA23" s="179"/>
      <c r="AB23" s="174" t="str">
        <f>IF(ISBLANK(Teams!$H8),"",Teams!$H8)</f>
        <v>Employee #13</v>
      </c>
      <c r="AC23" s="175" t="str">
        <f>_xlfn.XLOOKUP(AB23,'Week 2'!$A:$A,'Week 2'!$B:$B)</f>
        <v/>
      </c>
      <c r="AD23" s="175" t="str">
        <f>_xlfn.XLOOKUP(AB23,'Week 2'!$A:$A,'Week 2'!$D:$D)</f>
        <v/>
      </c>
      <c r="AE23" s="176" t="str">
        <f>_xlfn.XLOOKUP(AB23,'Week 2'!$A:$A,'Week 2'!$E:$E)</f>
        <v/>
      </c>
      <c r="AF23" s="177">
        <f>_xlfn.XLOOKUP(AB23,'Week 2'!$A:$A,'Week 2'!$F:$F)</f>
        <v>0</v>
      </c>
      <c r="AG23" s="177">
        <f>_xlfn.XLOOKUP(AB23,'Week 2'!$A:$A,'Week 2'!$G:$G)</f>
        <v>0</v>
      </c>
      <c r="AH23" s="177">
        <f>_xlfn.XLOOKUP(AB23,'Week 2'!$A:$A,'Week 2'!$H:$H)</f>
        <v>0</v>
      </c>
      <c r="AI23" s="178">
        <f t="shared" si="11"/>
        <v>0</v>
      </c>
      <c r="AJ23" s="179"/>
      <c r="AK23" s="174" t="str">
        <f>IF(ISBLANK(Teams!$H8),"",Teams!$H8)</f>
        <v>Employee #13</v>
      </c>
      <c r="AL23" s="175" t="str">
        <f>_xlfn.XLOOKUP(AK23,'Week 3'!$A:$A,'Week 3'!$B:$B)</f>
        <v/>
      </c>
      <c r="AM23" s="175" t="str">
        <f>_xlfn.XLOOKUP(AK23,'Week 3'!$A:$A,'Week 3'!$D:$D)</f>
        <v/>
      </c>
      <c r="AN23" s="176" t="str">
        <f>_xlfn.XLOOKUP(AK23,'Week 3'!$A:$A,'Week 3'!$E:$E)</f>
        <v/>
      </c>
      <c r="AO23" s="177">
        <f>_xlfn.XLOOKUP(AK23,'Week 3'!$A:$A,'Week 3'!$F:$F)</f>
        <v>0</v>
      </c>
      <c r="AP23" s="177">
        <f>_xlfn.XLOOKUP(AK23,'Week 3'!$A:$A,'Week 3'!$G:$G)</f>
        <v>0</v>
      </c>
      <c r="AQ23" s="177">
        <f>_xlfn.XLOOKUP(AK23,'Week 3'!$A:$A,'Week 3'!$H:$H)</f>
        <v>0</v>
      </c>
      <c r="AR23" s="178">
        <f t="shared" si="7"/>
        <v>0</v>
      </c>
      <c r="AS23" s="179"/>
      <c r="AT23" s="174" t="str">
        <f>IF(ISBLANK(Teams!$H8),"",Teams!$H8)</f>
        <v>Employee #13</v>
      </c>
      <c r="AU23" s="175" t="str">
        <f>_xlfn.XLOOKUP(AT23,'Week 4'!$A:$A,'Week 4'!$B:$B)</f>
        <v/>
      </c>
      <c r="AV23" s="175" t="str">
        <f>_xlfn.XLOOKUP(AT23,'Week 4'!$A:$A,'Week 4'!$D:$D)</f>
        <v/>
      </c>
      <c r="AW23" s="176" t="str">
        <f>_xlfn.XLOOKUP(AT23,'Week 4'!$A:$A,'Week 4'!$E:$E)</f>
        <v/>
      </c>
      <c r="AX23" s="177">
        <f>_xlfn.XLOOKUP(AT23,'Week 4'!$A:$A,'Week 4'!$F:$F)</f>
        <v>0</v>
      </c>
      <c r="AY23" s="177">
        <f>_xlfn.XLOOKUP(AT23,'Week 4'!$A:$A,'Week 4'!$G:$G)</f>
        <v>0</v>
      </c>
      <c r="AZ23" s="177">
        <f>_xlfn.XLOOKUP(AT23,'Week 4'!$A:$A,'Week 4'!$H:$H)</f>
        <v>0</v>
      </c>
      <c r="BA23" s="178">
        <f t="shared" si="8"/>
        <v>0</v>
      </c>
      <c r="BB23" s="179"/>
      <c r="BC23" s="174" t="str">
        <f>IF(ISBLANK(Teams!$H8),"",Teams!$H8)</f>
        <v>Employee #13</v>
      </c>
      <c r="BD23" s="175" t="str">
        <f>_xlfn.XLOOKUP(BC23,'Week 5'!$A:$A,'Week 5'!$B:$B)</f>
        <v/>
      </c>
      <c r="BE23" s="175" t="str">
        <f>_xlfn.XLOOKUP(BC23,'Week 5'!$A:$A,'Week 5'!$D:$D)</f>
        <v/>
      </c>
      <c r="BF23" s="176" t="str">
        <f>_xlfn.XLOOKUP(BC23,'Week 5'!$A:$A,'Week 5'!$E:$E)</f>
        <v/>
      </c>
      <c r="BG23" s="177">
        <f>_xlfn.XLOOKUP(BC23,'Week 5'!$A:$A,'Week 5'!$F:$F)</f>
        <v>0</v>
      </c>
      <c r="BH23" s="177">
        <f>_xlfn.XLOOKUP(BC23,'Week 5'!$A:$A,'Week 5'!$G:$G)</f>
        <v>0</v>
      </c>
      <c r="BI23" s="177">
        <f>_xlfn.XLOOKUP(BC23,'Week 5'!$A:$A,'Week 5'!$H:$H)</f>
        <v>0</v>
      </c>
      <c r="BJ23" s="178">
        <f t="shared" si="9"/>
        <v>0</v>
      </c>
    </row>
    <row r="24" spans="6:62" ht="15" thickTop="1" x14ac:dyDescent="0.35">
      <c r="S24" s="174" t="str">
        <f>IF(ISBLANK(Teams!$H9),"",Teams!$H9)</f>
        <v>Employee #14</v>
      </c>
      <c r="T24" s="175" t="str">
        <f>_xlfn.XLOOKUP(S24,'Week 1'!$A:$A,'Week 1'!$B:$B)</f>
        <v/>
      </c>
      <c r="U24" s="175">
        <f>_xlfn.XLOOKUP(S24,'Week 1'!$A:$A,'Week 1'!$D:$D)</f>
        <v>1.1446153846153846</v>
      </c>
      <c r="V24" s="176">
        <f>_xlfn.XLOOKUP(S24,'Week 1'!$A:$A,'Week 1'!$E:$E)</f>
        <v>0.95299999999999996</v>
      </c>
      <c r="W24" s="177" t="str">
        <f>_xlfn.XLOOKUP(S24,'Week 1'!$A:$A,'Week 1'!$F:$F)</f>
        <v/>
      </c>
      <c r="X24" s="177">
        <f>_xlfn.XLOOKUP(S24,'Week 1'!$A:$A,'Week 1'!$G:$G)</f>
        <v>2</v>
      </c>
      <c r="Y24" s="177">
        <f>_xlfn.XLOOKUP(S24,'Week 1'!$A:$A,'Week 1'!$H:$H)</f>
        <v>3</v>
      </c>
      <c r="Z24" s="178">
        <f t="shared" si="10"/>
        <v>5</v>
      </c>
      <c r="AA24" s="179"/>
      <c r="AB24" s="174" t="str">
        <f>IF(ISBLANK(Teams!$H9),"",Teams!$H9)</f>
        <v>Employee #14</v>
      </c>
      <c r="AC24" s="175" t="str">
        <f>_xlfn.XLOOKUP(AB24,'Week 2'!$A:$A,'Week 2'!$B:$B)</f>
        <v/>
      </c>
      <c r="AD24" s="175" t="str">
        <f>_xlfn.XLOOKUP(AB24,'Week 2'!$A:$A,'Week 2'!$D:$D)</f>
        <v/>
      </c>
      <c r="AE24" s="176" t="str">
        <f>_xlfn.XLOOKUP(AB24,'Week 2'!$A:$A,'Week 2'!$E:$E)</f>
        <v/>
      </c>
      <c r="AF24" s="177">
        <f>_xlfn.XLOOKUP(AB24,'Week 2'!$A:$A,'Week 2'!$F:$F)</f>
        <v>0</v>
      </c>
      <c r="AG24" s="177">
        <f>_xlfn.XLOOKUP(AB24,'Week 2'!$A:$A,'Week 2'!$G:$G)</f>
        <v>0</v>
      </c>
      <c r="AH24" s="177">
        <f>_xlfn.XLOOKUP(AB24,'Week 2'!$A:$A,'Week 2'!$H:$H)</f>
        <v>0</v>
      </c>
      <c r="AI24" s="178">
        <f t="shared" si="11"/>
        <v>0</v>
      </c>
      <c r="AJ24" s="179"/>
      <c r="AK24" s="174" t="str">
        <f>IF(ISBLANK(Teams!$H9),"",Teams!$H9)</f>
        <v>Employee #14</v>
      </c>
      <c r="AL24" s="175" t="str">
        <f>_xlfn.XLOOKUP(AK24,'Week 3'!$A:$A,'Week 3'!$B:$B)</f>
        <v/>
      </c>
      <c r="AM24" s="175" t="str">
        <f>_xlfn.XLOOKUP(AK24,'Week 3'!$A:$A,'Week 3'!$D:$D)</f>
        <v/>
      </c>
      <c r="AN24" s="176" t="str">
        <f>_xlfn.XLOOKUP(AK24,'Week 3'!$A:$A,'Week 3'!$E:$E)</f>
        <v/>
      </c>
      <c r="AO24" s="177">
        <f>_xlfn.XLOOKUP(AK24,'Week 3'!$A:$A,'Week 3'!$F:$F)</f>
        <v>0</v>
      </c>
      <c r="AP24" s="177">
        <f>_xlfn.XLOOKUP(AK24,'Week 3'!$A:$A,'Week 3'!$G:$G)</f>
        <v>0</v>
      </c>
      <c r="AQ24" s="177">
        <f>_xlfn.XLOOKUP(AK24,'Week 3'!$A:$A,'Week 3'!$H:$H)</f>
        <v>0</v>
      </c>
      <c r="AR24" s="178">
        <f t="shared" si="7"/>
        <v>0</v>
      </c>
      <c r="AS24" s="179"/>
      <c r="AT24" s="174" t="str">
        <f>IF(ISBLANK(Teams!$H9),"",Teams!$H9)</f>
        <v>Employee #14</v>
      </c>
      <c r="AU24" s="175" t="str">
        <f>_xlfn.XLOOKUP(AT24,'Week 4'!$A:$A,'Week 4'!$B:$B)</f>
        <v/>
      </c>
      <c r="AV24" s="175" t="str">
        <f>_xlfn.XLOOKUP(AT24,'Week 4'!$A:$A,'Week 4'!$D:$D)</f>
        <v/>
      </c>
      <c r="AW24" s="176" t="str">
        <f>_xlfn.XLOOKUP(AT24,'Week 4'!$A:$A,'Week 4'!$E:$E)</f>
        <v/>
      </c>
      <c r="AX24" s="177">
        <f>_xlfn.XLOOKUP(AT24,'Week 4'!$A:$A,'Week 4'!$F:$F)</f>
        <v>0</v>
      </c>
      <c r="AY24" s="177">
        <f>_xlfn.XLOOKUP(AT24,'Week 4'!$A:$A,'Week 4'!$G:$G)</f>
        <v>0</v>
      </c>
      <c r="AZ24" s="177">
        <f>_xlfn.XLOOKUP(AT24,'Week 4'!$A:$A,'Week 4'!$H:$H)</f>
        <v>0</v>
      </c>
      <c r="BA24" s="178">
        <f t="shared" si="8"/>
        <v>0</v>
      </c>
      <c r="BB24" s="179"/>
      <c r="BC24" s="174" t="str">
        <f>IF(ISBLANK(Teams!$H9),"",Teams!$H9)</f>
        <v>Employee #14</v>
      </c>
      <c r="BD24" s="175" t="str">
        <f>_xlfn.XLOOKUP(BC24,'Week 5'!$A:$A,'Week 5'!$B:$B)</f>
        <v/>
      </c>
      <c r="BE24" s="175" t="str">
        <f>_xlfn.XLOOKUP(BC24,'Week 5'!$A:$A,'Week 5'!$D:$D)</f>
        <v/>
      </c>
      <c r="BF24" s="176" t="str">
        <f>_xlfn.XLOOKUP(BC24,'Week 5'!$A:$A,'Week 5'!$E:$E)</f>
        <v/>
      </c>
      <c r="BG24" s="177">
        <f>_xlfn.XLOOKUP(BC24,'Week 5'!$A:$A,'Week 5'!$F:$F)</f>
        <v>0</v>
      </c>
      <c r="BH24" s="177">
        <f>_xlfn.XLOOKUP(BC24,'Week 5'!$A:$A,'Week 5'!$G:$G)</f>
        <v>0</v>
      </c>
      <c r="BI24" s="177">
        <f>_xlfn.XLOOKUP(BC24,'Week 5'!$A:$A,'Week 5'!$H:$H)</f>
        <v>0</v>
      </c>
      <c r="BJ24" s="178">
        <f t="shared" si="9"/>
        <v>0</v>
      </c>
    </row>
    <row r="25" spans="6:62" x14ac:dyDescent="0.35">
      <c r="S25" s="174" t="str">
        <f>IF(ISBLANK(Teams!$H10),"",Teams!$H10)</f>
        <v/>
      </c>
      <c r="T25" s="175" t="str">
        <f>_xlfn.XLOOKUP(S25,'Week 1'!$A:$A,'Week 1'!$B:$B)</f>
        <v/>
      </c>
      <c r="U25" s="175" t="str">
        <f>_xlfn.XLOOKUP(S25,'Week 1'!$A:$A,'Week 1'!$D:$D)</f>
        <v/>
      </c>
      <c r="V25" s="176" t="str">
        <f>_xlfn.XLOOKUP(S25,'Week 1'!$A:$A,'Week 1'!$E:$E)</f>
        <v/>
      </c>
      <c r="W25" s="177" t="str">
        <f>_xlfn.XLOOKUP(S25,'Week 1'!$A:$A,'Week 1'!$F:$F)</f>
        <v/>
      </c>
      <c r="X25" s="177" t="str">
        <f>_xlfn.XLOOKUP(S25,'Week 1'!$A:$A,'Week 1'!$G:$G)</f>
        <v/>
      </c>
      <c r="Y25" s="177">
        <f>_xlfn.XLOOKUP(S25,'Week 1'!$A:$A,'Week 1'!$H:$H)</f>
        <v>0</v>
      </c>
      <c r="Z25" s="178">
        <f t="shared" si="10"/>
        <v>0</v>
      </c>
      <c r="AA25" s="179"/>
      <c r="AB25" s="174" t="str">
        <f>IF(ISBLANK(Teams!$H10),"",Teams!$H10)</f>
        <v/>
      </c>
      <c r="AC25" s="175" t="str">
        <f>_xlfn.XLOOKUP(AB25,'Week 2'!$A:$A,'Week 2'!$B:$B)</f>
        <v/>
      </c>
      <c r="AD25" s="175" t="str">
        <f>_xlfn.XLOOKUP(AB25,'Week 2'!$A:$A,'Week 2'!$D:$D)</f>
        <v/>
      </c>
      <c r="AE25" s="176" t="str">
        <f>_xlfn.XLOOKUP(AB25,'Week 2'!$A:$A,'Week 2'!$E:$E)</f>
        <v/>
      </c>
      <c r="AF25" s="177">
        <f>_xlfn.XLOOKUP(AB25,'Week 2'!$A:$A,'Week 2'!$F:$F)</f>
        <v>0</v>
      </c>
      <c r="AG25" s="177">
        <f>_xlfn.XLOOKUP(AB25,'Week 2'!$A:$A,'Week 2'!$G:$G)</f>
        <v>0</v>
      </c>
      <c r="AH25" s="177">
        <f>_xlfn.XLOOKUP(AB25,'Week 2'!$A:$A,'Week 2'!$H:$H)</f>
        <v>0</v>
      </c>
      <c r="AI25" s="178">
        <f t="shared" si="11"/>
        <v>0</v>
      </c>
      <c r="AJ25" s="179"/>
      <c r="AK25" s="174" t="str">
        <f>IF(ISBLANK(Teams!$H10),"",Teams!$H10)</f>
        <v/>
      </c>
      <c r="AL25" s="175" t="str">
        <f>_xlfn.XLOOKUP(AK25,'Week 3'!$A:$A,'Week 3'!$B:$B)</f>
        <v/>
      </c>
      <c r="AM25" s="175" t="str">
        <f>_xlfn.XLOOKUP(AK25,'Week 3'!$A:$A,'Week 3'!$D:$D)</f>
        <v/>
      </c>
      <c r="AN25" s="176" t="str">
        <f>_xlfn.XLOOKUP(AK25,'Week 3'!$A:$A,'Week 3'!$E:$E)</f>
        <v/>
      </c>
      <c r="AO25" s="177">
        <f>_xlfn.XLOOKUP(AK25,'Week 3'!$A:$A,'Week 3'!$F:$F)</f>
        <v>0</v>
      </c>
      <c r="AP25" s="177">
        <f>_xlfn.XLOOKUP(AK25,'Week 3'!$A:$A,'Week 3'!$G:$G)</f>
        <v>0</v>
      </c>
      <c r="AQ25" s="177">
        <f>_xlfn.XLOOKUP(AK25,'Week 3'!$A:$A,'Week 3'!$H:$H)</f>
        <v>0</v>
      </c>
      <c r="AR25" s="178">
        <f t="shared" si="7"/>
        <v>0</v>
      </c>
      <c r="AS25" s="179"/>
      <c r="AT25" s="174" t="str">
        <f>IF(ISBLANK(Teams!$H10),"",Teams!$H10)</f>
        <v/>
      </c>
      <c r="AU25" s="175" t="str">
        <f>_xlfn.XLOOKUP(AT25,'Week 4'!$A:$A,'Week 4'!$B:$B)</f>
        <v/>
      </c>
      <c r="AV25" s="175" t="str">
        <f>_xlfn.XLOOKUP(AT25,'Week 4'!$A:$A,'Week 4'!$D:$D)</f>
        <v/>
      </c>
      <c r="AW25" s="176" t="str">
        <f>_xlfn.XLOOKUP(AT25,'Week 4'!$A:$A,'Week 4'!$E:$E)</f>
        <v/>
      </c>
      <c r="AX25" s="177">
        <f>_xlfn.XLOOKUP(AT25,'Week 4'!$A:$A,'Week 4'!$F:$F)</f>
        <v>0</v>
      </c>
      <c r="AY25" s="177">
        <f>_xlfn.XLOOKUP(AT25,'Week 4'!$A:$A,'Week 4'!$G:$G)</f>
        <v>0</v>
      </c>
      <c r="AZ25" s="177">
        <f>_xlfn.XLOOKUP(AT25,'Week 4'!$A:$A,'Week 4'!$H:$H)</f>
        <v>0</v>
      </c>
      <c r="BA25" s="178">
        <f t="shared" si="8"/>
        <v>0</v>
      </c>
      <c r="BB25" s="179"/>
      <c r="BC25" s="174" t="str">
        <f>IF(ISBLANK(Teams!$H10),"",Teams!$H10)</f>
        <v/>
      </c>
      <c r="BD25" s="175" t="str">
        <f>_xlfn.XLOOKUP(BC25,'Week 5'!$A:$A,'Week 5'!$B:$B)</f>
        <v/>
      </c>
      <c r="BE25" s="175" t="str">
        <f>_xlfn.XLOOKUP(BC25,'Week 5'!$A:$A,'Week 5'!$D:$D)</f>
        <v/>
      </c>
      <c r="BF25" s="176" t="str">
        <f>_xlfn.XLOOKUP(BC25,'Week 5'!$A:$A,'Week 5'!$E:$E)</f>
        <v/>
      </c>
      <c r="BG25" s="177">
        <f>_xlfn.XLOOKUP(BC25,'Week 5'!$A:$A,'Week 5'!$F:$F)</f>
        <v>0</v>
      </c>
      <c r="BH25" s="177">
        <f>_xlfn.XLOOKUP(BC25,'Week 5'!$A:$A,'Week 5'!$G:$G)</f>
        <v>0</v>
      </c>
      <c r="BI25" s="177">
        <f>_xlfn.XLOOKUP(BC25,'Week 5'!$A:$A,'Week 5'!$H:$H)</f>
        <v>0</v>
      </c>
      <c r="BJ25" s="178">
        <f t="shared" si="9"/>
        <v>0</v>
      </c>
    </row>
    <row r="26" spans="6:62" x14ac:dyDescent="0.35">
      <c r="S26" s="174" t="str">
        <f>IF(ISBLANK(Teams!$H11),"",Teams!$H11)</f>
        <v/>
      </c>
      <c r="T26" s="175" t="str">
        <f>_xlfn.XLOOKUP(S26,'Week 1'!$A:$A,'Week 1'!$B:$B)</f>
        <v/>
      </c>
      <c r="U26" s="175" t="str">
        <f>_xlfn.XLOOKUP(S26,'Week 1'!$A:$A,'Week 1'!$D:$D)</f>
        <v/>
      </c>
      <c r="V26" s="176" t="str">
        <f>_xlfn.XLOOKUP(S26,'Week 1'!$A:$A,'Week 1'!$E:$E)</f>
        <v/>
      </c>
      <c r="W26" s="177" t="str">
        <f>_xlfn.XLOOKUP(S26,'Week 1'!$A:$A,'Week 1'!$F:$F)</f>
        <v/>
      </c>
      <c r="X26" s="177" t="str">
        <f>_xlfn.XLOOKUP(S26,'Week 1'!$A:$A,'Week 1'!$G:$G)</f>
        <v/>
      </c>
      <c r="Y26" s="177">
        <f>_xlfn.XLOOKUP(S26,'Week 1'!$A:$A,'Week 1'!$H:$H)</f>
        <v>0</v>
      </c>
      <c r="Z26" s="178">
        <f t="shared" si="10"/>
        <v>0</v>
      </c>
      <c r="AA26" s="179"/>
      <c r="AB26" s="174" t="str">
        <f>IF(ISBLANK(Teams!$H11),"",Teams!$H11)</f>
        <v/>
      </c>
      <c r="AC26" s="175" t="str">
        <f>_xlfn.XLOOKUP(AB26,'Week 2'!$A:$A,'Week 2'!$B:$B)</f>
        <v/>
      </c>
      <c r="AD26" s="175" t="str">
        <f>_xlfn.XLOOKUP(AB26,'Week 2'!$A:$A,'Week 2'!$D:$D)</f>
        <v/>
      </c>
      <c r="AE26" s="176" t="str">
        <f>_xlfn.XLOOKUP(AB26,'Week 2'!$A:$A,'Week 2'!$E:$E)</f>
        <v/>
      </c>
      <c r="AF26" s="177">
        <f>_xlfn.XLOOKUP(AB26,'Week 2'!$A:$A,'Week 2'!$F:$F)</f>
        <v>0</v>
      </c>
      <c r="AG26" s="177">
        <f>_xlfn.XLOOKUP(AB26,'Week 2'!$A:$A,'Week 2'!$G:$G)</f>
        <v>0</v>
      </c>
      <c r="AH26" s="177">
        <f>_xlfn.XLOOKUP(AB26,'Week 2'!$A:$A,'Week 2'!$H:$H)</f>
        <v>0</v>
      </c>
      <c r="AI26" s="178">
        <f t="shared" si="11"/>
        <v>0</v>
      </c>
      <c r="AJ26" s="179"/>
      <c r="AK26" s="174" t="str">
        <f>IF(ISBLANK(Teams!$H11),"",Teams!$H11)</f>
        <v/>
      </c>
      <c r="AL26" s="175" t="str">
        <f>_xlfn.XLOOKUP(AK26,'Week 3'!$A:$A,'Week 3'!$B:$B)</f>
        <v/>
      </c>
      <c r="AM26" s="175" t="str">
        <f>_xlfn.XLOOKUP(AK26,'Week 3'!$A:$A,'Week 3'!$D:$D)</f>
        <v/>
      </c>
      <c r="AN26" s="176" t="str">
        <f>_xlfn.XLOOKUP(AK26,'Week 3'!$A:$A,'Week 3'!$E:$E)</f>
        <v/>
      </c>
      <c r="AO26" s="177">
        <f>_xlfn.XLOOKUP(AK26,'Week 3'!$A:$A,'Week 3'!$F:$F)</f>
        <v>0</v>
      </c>
      <c r="AP26" s="177">
        <f>_xlfn.XLOOKUP(AK26,'Week 3'!$A:$A,'Week 3'!$G:$G)</f>
        <v>0</v>
      </c>
      <c r="AQ26" s="177">
        <f>_xlfn.XLOOKUP(AK26,'Week 3'!$A:$A,'Week 3'!$H:$H)</f>
        <v>0</v>
      </c>
      <c r="AR26" s="178">
        <f t="shared" si="7"/>
        <v>0</v>
      </c>
      <c r="AS26" s="179"/>
      <c r="AT26" s="174" t="str">
        <f>IF(ISBLANK(Teams!$H11),"",Teams!$H11)</f>
        <v/>
      </c>
      <c r="AU26" s="175" t="str">
        <f>_xlfn.XLOOKUP(AT26,'Week 4'!$A:$A,'Week 4'!$B:$B)</f>
        <v/>
      </c>
      <c r="AV26" s="175" t="str">
        <f>_xlfn.XLOOKUP(AT26,'Week 4'!$A:$A,'Week 4'!$D:$D)</f>
        <v/>
      </c>
      <c r="AW26" s="176" t="str">
        <f>_xlfn.XLOOKUP(AT26,'Week 4'!$A:$A,'Week 4'!$E:$E)</f>
        <v/>
      </c>
      <c r="AX26" s="177">
        <f>_xlfn.XLOOKUP(AT26,'Week 4'!$A:$A,'Week 4'!$F:$F)</f>
        <v>0</v>
      </c>
      <c r="AY26" s="177">
        <f>_xlfn.XLOOKUP(AT26,'Week 4'!$A:$A,'Week 4'!$G:$G)</f>
        <v>0</v>
      </c>
      <c r="AZ26" s="177">
        <f>_xlfn.XLOOKUP(AT26,'Week 4'!$A:$A,'Week 4'!$H:$H)</f>
        <v>0</v>
      </c>
      <c r="BA26" s="178">
        <f t="shared" si="8"/>
        <v>0</v>
      </c>
      <c r="BB26" s="179"/>
      <c r="BC26" s="174" t="str">
        <f>IF(ISBLANK(Teams!$H11),"",Teams!$H11)</f>
        <v/>
      </c>
      <c r="BD26" s="175" t="str">
        <f>_xlfn.XLOOKUP(BC26,'Week 5'!$A:$A,'Week 5'!$B:$B)</f>
        <v/>
      </c>
      <c r="BE26" s="175" t="str">
        <f>_xlfn.XLOOKUP(BC26,'Week 5'!$A:$A,'Week 5'!$D:$D)</f>
        <v/>
      </c>
      <c r="BF26" s="176" t="str">
        <f>_xlfn.XLOOKUP(BC26,'Week 5'!$A:$A,'Week 5'!$E:$E)</f>
        <v/>
      </c>
      <c r="BG26" s="177">
        <f>_xlfn.XLOOKUP(BC26,'Week 5'!$A:$A,'Week 5'!$F:$F)</f>
        <v>0</v>
      </c>
      <c r="BH26" s="177">
        <f>_xlfn.XLOOKUP(BC26,'Week 5'!$A:$A,'Week 5'!$G:$G)</f>
        <v>0</v>
      </c>
      <c r="BI26" s="177">
        <f>_xlfn.XLOOKUP(BC26,'Week 5'!$A:$A,'Week 5'!$H:$H)</f>
        <v>0</v>
      </c>
      <c r="BJ26" s="178">
        <f t="shared" si="9"/>
        <v>0</v>
      </c>
    </row>
    <row r="27" spans="6:62" x14ac:dyDescent="0.35">
      <c r="S27" s="174" t="str">
        <f>IF(ISBLANK(Teams!$H12),"",Teams!$H12)</f>
        <v/>
      </c>
      <c r="T27" s="175" t="str">
        <f>_xlfn.XLOOKUP(S27,'Week 1'!$A:$A,'Week 1'!$B:$B)</f>
        <v/>
      </c>
      <c r="U27" s="175" t="str">
        <f>_xlfn.XLOOKUP(S27,'Week 1'!$A:$A,'Week 1'!$D:$D)</f>
        <v/>
      </c>
      <c r="V27" s="176" t="str">
        <f>_xlfn.XLOOKUP(S27,'Week 1'!$A:$A,'Week 1'!$E:$E)</f>
        <v/>
      </c>
      <c r="W27" s="177" t="str">
        <f>_xlfn.XLOOKUP(S27,'Week 1'!$A:$A,'Week 1'!$F:$F)</f>
        <v/>
      </c>
      <c r="X27" s="177" t="str">
        <f>_xlfn.XLOOKUP(S27,'Week 1'!$A:$A,'Week 1'!$G:$G)</f>
        <v/>
      </c>
      <c r="Y27" s="177">
        <f>_xlfn.XLOOKUP(S27,'Week 1'!$A:$A,'Week 1'!$H:$H)</f>
        <v>0</v>
      </c>
      <c r="Z27" s="178">
        <f t="shared" si="10"/>
        <v>0</v>
      </c>
      <c r="AA27" s="179"/>
      <c r="AB27" s="174" t="str">
        <f>IF(ISBLANK(Teams!$H12),"",Teams!$H12)</f>
        <v/>
      </c>
      <c r="AC27" s="175" t="str">
        <f>_xlfn.XLOOKUP(AB27,'Week 2'!$A:$A,'Week 2'!$B:$B)</f>
        <v/>
      </c>
      <c r="AD27" s="175" t="str">
        <f>_xlfn.XLOOKUP(AB27,'Week 2'!$A:$A,'Week 2'!$D:$D)</f>
        <v/>
      </c>
      <c r="AE27" s="176" t="str">
        <f>_xlfn.XLOOKUP(AB27,'Week 2'!$A:$A,'Week 2'!$E:$E)</f>
        <v/>
      </c>
      <c r="AF27" s="177">
        <f>_xlfn.XLOOKUP(AB27,'Week 2'!$A:$A,'Week 2'!$F:$F)</f>
        <v>0</v>
      </c>
      <c r="AG27" s="177">
        <f>_xlfn.XLOOKUP(AB27,'Week 2'!$A:$A,'Week 2'!$G:$G)</f>
        <v>0</v>
      </c>
      <c r="AH27" s="177">
        <f>_xlfn.XLOOKUP(AB27,'Week 2'!$A:$A,'Week 2'!$H:$H)</f>
        <v>0</v>
      </c>
      <c r="AI27" s="178">
        <f t="shared" si="11"/>
        <v>0</v>
      </c>
      <c r="AJ27" s="179"/>
      <c r="AK27" s="174" t="str">
        <f>IF(ISBLANK(Teams!$H12),"",Teams!$H12)</f>
        <v/>
      </c>
      <c r="AL27" s="175" t="str">
        <f>_xlfn.XLOOKUP(AK27,'Week 3'!$A:$A,'Week 3'!$B:$B)</f>
        <v/>
      </c>
      <c r="AM27" s="175" t="str">
        <f>_xlfn.XLOOKUP(AK27,'Week 3'!$A:$A,'Week 3'!$D:$D)</f>
        <v/>
      </c>
      <c r="AN27" s="176" t="str">
        <f>_xlfn.XLOOKUP(AK27,'Week 3'!$A:$A,'Week 3'!$E:$E)</f>
        <v/>
      </c>
      <c r="AO27" s="177">
        <f>_xlfn.XLOOKUP(AK27,'Week 3'!$A:$A,'Week 3'!$F:$F)</f>
        <v>0</v>
      </c>
      <c r="AP27" s="177">
        <f>_xlfn.XLOOKUP(AK27,'Week 3'!$A:$A,'Week 3'!$G:$G)</f>
        <v>0</v>
      </c>
      <c r="AQ27" s="177">
        <f>_xlfn.XLOOKUP(AK27,'Week 3'!$A:$A,'Week 3'!$H:$H)</f>
        <v>0</v>
      </c>
      <c r="AR27" s="178">
        <f t="shared" si="7"/>
        <v>0</v>
      </c>
      <c r="AS27" s="179"/>
      <c r="AT27" s="174" t="str">
        <f>IF(ISBLANK(Teams!$H12),"",Teams!$H12)</f>
        <v/>
      </c>
      <c r="AU27" s="175" t="str">
        <f>_xlfn.XLOOKUP(AT27,'Week 4'!$A:$A,'Week 4'!$B:$B)</f>
        <v/>
      </c>
      <c r="AV27" s="175" t="str">
        <f>_xlfn.XLOOKUP(AT27,'Week 4'!$A:$A,'Week 4'!$D:$D)</f>
        <v/>
      </c>
      <c r="AW27" s="176" t="str">
        <f>_xlfn.XLOOKUP(AT27,'Week 4'!$A:$A,'Week 4'!$E:$E)</f>
        <v/>
      </c>
      <c r="AX27" s="177">
        <f>_xlfn.XLOOKUP(AT27,'Week 4'!$A:$A,'Week 4'!$F:$F)</f>
        <v>0</v>
      </c>
      <c r="AY27" s="177">
        <f>_xlfn.XLOOKUP(AT27,'Week 4'!$A:$A,'Week 4'!$G:$G)</f>
        <v>0</v>
      </c>
      <c r="AZ27" s="177">
        <f>_xlfn.XLOOKUP(AT27,'Week 4'!$A:$A,'Week 4'!$H:$H)</f>
        <v>0</v>
      </c>
      <c r="BA27" s="178">
        <f t="shared" si="8"/>
        <v>0</v>
      </c>
      <c r="BB27" s="179"/>
      <c r="BC27" s="174" t="str">
        <f>IF(ISBLANK(Teams!$H12),"",Teams!$H12)</f>
        <v/>
      </c>
      <c r="BD27" s="175" t="str">
        <f>_xlfn.XLOOKUP(BC27,'Week 5'!$A:$A,'Week 5'!$B:$B)</f>
        <v/>
      </c>
      <c r="BE27" s="175" t="str">
        <f>_xlfn.XLOOKUP(BC27,'Week 5'!$A:$A,'Week 5'!$D:$D)</f>
        <v/>
      </c>
      <c r="BF27" s="176" t="str">
        <f>_xlfn.XLOOKUP(BC27,'Week 5'!$A:$A,'Week 5'!$E:$E)</f>
        <v/>
      </c>
      <c r="BG27" s="177">
        <f>_xlfn.XLOOKUP(BC27,'Week 5'!$A:$A,'Week 5'!$F:$F)</f>
        <v>0</v>
      </c>
      <c r="BH27" s="177">
        <f>_xlfn.XLOOKUP(BC27,'Week 5'!$A:$A,'Week 5'!$G:$G)</f>
        <v>0</v>
      </c>
      <c r="BI27" s="177">
        <f>_xlfn.XLOOKUP(BC27,'Week 5'!$A:$A,'Week 5'!$H:$H)</f>
        <v>0</v>
      </c>
      <c r="BJ27" s="178">
        <f t="shared" si="9"/>
        <v>0</v>
      </c>
    </row>
    <row r="28" spans="6:62" x14ac:dyDescent="0.35">
      <c r="S28" s="180"/>
      <c r="T28" s="180"/>
      <c r="U28" s="180"/>
      <c r="V28" s="180"/>
      <c r="W28" s="180"/>
      <c r="X28" s="180"/>
      <c r="Y28" s="180"/>
      <c r="Z28" s="181">
        <f>SUM(Z18:Z27)</f>
        <v>22</v>
      </c>
      <c r="AA28" s="179"/>
      <c r="AB28" s="180"/>
      <c r="AC28" s="180"/>
      <c r="AD28" s="180"/>
      <c r="AE28" s="180"/>
      <c r="AF28" s="180"/>
      <c r="AG28" s="180"/>
      <c r="AH28" s="180"/>
      <c r="AI28" s="181">
        <f>SUM(AI18:AI27)</f>
        <v>0</v>
      </c>
      <c r="AJ28" s="179"/>
      <c r="AK28" s="180"/>
      <c r="AL28" s="180"/>
      <c r="AM28" s="180"/>
      <c r="AN28" s="180"/>
      <c r="AO28" s="180"/>
      <c r="AP28" s="180"/>
      <c r="AQ28" s="180"/>
      <c r="AR28" s="181">
        <f>SUM(AR18:AR27)</f>
        <v>0</v>
      </c>
      <c r="AS28" s="179"/>
      <c r="AT28" s="180"/>
      <c r="AU28" s="180"/>
      <c r="AV28" s="180"/>
      <c r="AW28" s="180"/>
      <c r="AX28" s="180"/>
      <c r="AY28" s="180"/>
      <c r="AZ28" s="180"/>
      <c r="BA28" s="181">
        <f>SUM(BA18:BA27)</f>
        <v>0</v>
      </c>
      <c r="BB28" s="179"/>
      <c r="BC28" s="180"/>
      <c r="BD28" s="180"/>
      <c r="BE28" s="180"/>
      <c r="BF28" s="180"/>
      <c r="BG28" s="180"/>
      <c r="BH28" s="180"/>
      <c r="BI28" s="180"/>
      <c r="BJ28" s="181">
        <f>SUM(BJ18:BJ27)</f>
        <v>0</v>
      </c>
    </row>
  </sheetData>
  <sheetProtection algorithmName="SHA-512" hashValue="JOeaeUnVB768OMXwMXlJBIQt5IxGAa+FEFDTHMeAkeQKQ3slW4Hgsr1HZ1INY0KxNZgB8HtV5C9Wb6ESkGpp1A==" saltValue="447M+Y/NNJLMoUUmDM/SjQ==" spinCount="100000" sheet="1" objects="1" scenarios="1" formatCells="0" formatColumns="0" formatRows="0"/>
  <mergeCells count="20">
    <mergeCell ref="S16:W16"/>
    <mergeCell ref="X16:Z16"/>
    <mergeCell ref="S2:W2"/>
    <mergeCell ref="X2:Z2"/>
    <mergeCell ref="BC2:BG2"/>
    <mergeCell ref="AP2:AR2"/>
    <mergeCell ref="AK16:AO16"/>
    <mergeCell ref="AP16:AR16"/>
    <mergeCell ref="AB16:AF16"/>
    <mergeCell ref="AG16:AI16"/>
    <mergeCell ref="AB2:AF2"/>
    <mergeCell ref="AG2:AI2"/>
    <mergeCell ref="AK2:AO2"/>
    <mergeCell ref="BH2:BJ2"/>
    <mergeCell ref="BC16:BG16"/>
    <mergeCell ref="BH16:BJ16"/>
    <mergeCell ref="AT2:AX2"/>
    <mergeCell ref="AY2:BA2"/>
    <mergeCell ref="AT16:AX16"/>
    <mergeCell ref="AY16:BA16"/>
  </mergeCells>
  <conditionalFormatting sqref="V4:V13">
    <cfRule type="cellIs" dxfId="71" priority="105" operator="between">
      <formula>0.9</formula>
      <formula>0.9499</formula>
    </cfRule>
    <cfRule type="cellIs" dxfId="70" priority="106" operator="lessThan">
      <formula>0.9</formula>
    </cfRule>
    <cfRule type="cellIs" dxfId="69" priority="107" operator="greaterThan">
      <formula>0.94</formula>
    </cfRule>
  </conditionalFormatting>
  <conditionalFormatting sqref="V18:V27">
    <cfRule type="cellIs" dxfId="68" priority="87" operator="between">
      <formula>0.9</formula>
      <formula>0.9499</formula>
    </cfRule>
    <cfRule type="cellIs" dxfId="67" priority="88" operator="lessThan">
      <formula>0.9</formula>
    </cfRule>
    <cfRule type="cellIs" dxfId="66" priority="89" operator="greaterThan">
      <formula>0.94</formula>
    </cfRule>
  </conditionalFormatting>
  <conditionalFormatting sqref="U4:U13">
    <cfRule type="cellIs" dxfId="65" priority="79" operator="lessThan">
      <formula>0.95</formula>
    </cfRule>
    <cfRule type="cellIs" dxfId="64" priority="81" operator="between">
      <formula>0.95</formula>
      <formula>1.05</formula>
    </cfRule>
    <cfRule type="cellIs" dxfId="63" priority="83" operator="between">
      <formula>1.05</formula>
      <formula>1.15</formula>
    </cfRule>
    <cfRule type="cellIs" dxfId="62" priority="86" operator="greaterThan">
      <formula>1.15</formula>
    </cfRule>
  </conditionalFormatting>
  <conditionalFormatting sqref="U18:U27">
    <cfRule type="cellIs" dxfId="61" priority="78" operator="lessThan">
      <formula>0.95</formula>
    </cfRule>
    <cfRule type="cellIs" dxfId="60" priority="80" operator="between">
      <formula>0.95</formula>
      <formula>1.05</formula>
    </cfRule>
    <cfRule type="cellIs" dxfId="59" priority="82" operator="between">
      <formula>1.05</formula>
      <formula>11.5</formula>
    </cfRule>
    <cfRule type="cellIs" dxfId="58" priority="84" operator="greaterThan">
      <formula>1.15</formula>
    </cfRule>
  </conditionalFormatting>
  <conditionalFormatting sqref="AE18:AE27">
    <cfRule type="cellIs" dxfId="57" priority="54" operator="between">
      <formula>0.9</formula>
      <formula>0.9499</formula>
    </cfRule>
    <cfRule type="cellIs" dxfId="56" priority="55" operator="lessThan">
      <formula>0.9</formula>
    </cfRule>
    <cfRule type="cellIs" dxfId="55" priority="56" operator="greaterThan">
      <formula>0.94</formula>
    </cfRule>
  </conditionalFormatting>
  <conditionalFormatting sqref="AD18:AD27">
    <cfRule type="cellIs" dxfId="54" priority="50" operator="lessThan">
      <formula>0.95</formula>
    </cfRule>
    <cfRule type="cellIs" dxfId="53" priority="51" operator="between">
      <formula>0.95</formula>
      <formula>1.05</formula>
    </cfRule>
    <cfRule type="cellIs" dxfId="52" priority="52" operator="between">
      <formula>1.05</formula>
      <formula>11.5</formula>
    </cfRule>
    <cfRule type="cellIs" dxfId="51" priority="53" operator="greaterThan">
      <formula>1.15</formula>
    </cfRule>
  </conditionalFormatting>
  <conditionalFormatting sqref="AE4:AE13">
    <cfRule type="cellIs" dxfId="50" priority="47" operator="between">
      <formula>0.9</formula>
      <formula>0.9499</formula>
    </cfRule>
    <cfRule type="cellIs" dxfId="49" priority="48" operator="lessThan">
      <formula>0.9</formula>
    </cfRule>
    <cfRule type="cellIs" dxfId="48" priority="49" operator="greaterThan">
      <formula>0.94</formula>
    </cfRule>
  </conditionalFormatting>
  <conditionalFormatting sqref="AD4:AD13">
    <cfRule type="cellIs" dxfId="47" priority="43" operator="lessThan">
      <formula>0.95</formula>
    </cfRule>
    <cfRule type="cellIs" dxfId="46" priority="44" operator="between">
      <formula>0.95</formula>
      <formula>1.05</formula>
    </cfRule>
    <cfRule type="cellIs" dxfId="45" priority="45" operator="between">
      <formula>1.05</formula>
      <formula>1.15</formula>
    </cfRule>
    <cfRule type="cellIs" dxfId="44" priority="46" operator="greaterThan">
      <formula>1.15</formula>
    </cfRule>
  </conditionalFormatting>
  <conditionalFormatting sqref="AN18:AN27">
    <cfRule type="cellIs" dxfId="43" priority="40" operator="between">
      <formula>0.9</formula>
      <formula>0.9499</formula>
    </cfRule>
    <cfRule type="cellIs" dxfId="42" priority="41" operator="lessThan">
      <formula>0.9</formula>
    </cfRule>
    <cfRule type="cellIs" dxfId="41" priority="42" operator="greaterThan">
      <formula>0.94</formula>
    </cfRule>
  </conditionalFormatting>
  <conditionalFormatting sqref="AM18:AM27">
    <cfRule type="cellIs" dxfId="40" priority="36" operator="lessThan">
      <formula>0.95</formula>
    </cfRule>
    <cfRule type="cellIs" dxfId="39" priority="37" operator="between">
      <formula>0.95</formula>
      <formula>1.05</formula>
    </cfRule>
    <cfRule type="cellIs" dxfId="38" priority="38" operator="between">
      <formula>1.05</formula>
      <formula>11.5</formula>
    </cfRule>
    <cfRule type="cellIs" dxfId="37" priority="39" operator="greaterThan">
      <formula>1.15</formula>
    </cfRule>
  </conditionalFormatting>
  <conditionalFormatting sqref="AN4:AN13">
    <cfRule type="cellIs" dxfId="36" priority="33" operator="between">
      <formula>0.9</formula>
      <formula>0.9499</formula>
    </cfRule>
    <cfRule type="cellIs" dxfId="35" priority="34" operator="lessThan">
      <formula>0.9</formula>
    </cfRule>
    <cfRule type="cellIs" dxfId="34" priority="35" operator="greaterThan">
      <formula>0.94</formula>
    </cfRule>
  </conditionalFormatting>
  <conditionalFormatting sqref="AM4:AM13">
    <cfRule type="cellIs" dxfId="33" priority="29" operator="lessThan">
      <formula>0.95</formula>
    </cfRule>
    <cfRule type="cellIs" dxfId="32" priority="30" operator="between">
      <formula>0.95</formula>
      <formula>1.05</formula>
    </cfRule>
    <cfRule type="cellIs" dxfId="31" priority="31" operator="between">
      <formula>1.05</formula>
      <formula>1.15</formula>
    </cfRule>
    <cfRule type="cellIs" dxfId="30" priority="32" operator="greaterThan">
      <formula>1.15</formula>
    </cfRule>
  </conditionalFormatting>
  <conditionalFormatting sqref="AW18:AW27">
    <cfRule type="cellIs" dxfId="29" priority="26" operator="between">
      <formula>0.9</formula>
      <formula>0.9499</formula>
    </cfRule>
    <cfRule type="cellIs" dxfId="28" priority="27" operator="lessThan">
      <formula>0.9</formula>
    </cfRule>
    <cfRule type="cellIs" dxfId="27" priority="28" operator="greaterThan">
      <formula>0.94</formula>
    </cfRule>
  </conditionalFormatting>
  <conditionalFormatting sqref="AV18:AV27">
    <cfRule type="cellIs" dxfId="26" priority="22" operator="lessThan">
      <formula>0.95</formula>
    </cfRule>
    <cfRule type="cellIs" dxfId="25" priority="23" operator="between">
      <formula>0.95</formula>
      <formula>1.05</formula>
    </cfRule>
    <cfRule type="cellIs" dxfId="24" priority="24" operator="between">
      <formula>1.05</formula>
      <formula>11.5</formula>
    </cfRule>
    <cfRule type="cellIs" dxfId="23" priority="25" operator="greaterThan">
      <formula>1.15</formula>
    </cfRule>
  </conditionalFormatting>
  <conditionalFormatting sqref="AW4:AW13">
    <cfRule type="cellIs" dxfId="22" priority="19" operator="between">
      <formula>0.9</formula>
      <formula>0.9499</formula>
    </cfRule>
    <cfRule type="cellIs" dxfId="21" priority="20" operator="lessThan">
      <formula>0.9</formula>
    </cfRule>
    <cfRule type="cellIs" dxfId="20" priority="21" operator="greaterThan">
      <formula>0.94</formula>
    </cfRule>
  </conditionalFormatting>
  <conditionalFormatting sqref="AV4:AV13">
    <cfRule type="cellIs" dxfId="19" priority="15" operator="lessThan">
      <formula>0.95</formula>
    </cfRule>
    <cfRule type="cellIs" dxfId="18" priority="16" operator="between">
      <formula>0.95</formula>
      <formula>1.05</formula>
    </cfRule>
    <cfRule type="cellIs" dxfId="17" priority="17" operator="between">
      <formula>1.05</formula>
      <formula>1.15</formula>
    </cfRule>
    <cfRule type="cellIs" dxfId="16" priority="18" operator="greaterThan">
      <formula>1.15</formula>
    </cfRule>
  </conditionalFormatting>
  <conditionalFormatting sqref="BF18:BF27">
    <cfRule type="cellIs" dxfId="15" priority="12" operator="between">
      <formula>0.9</formula>
      <formula>0.9499</formula>
    </cfRule>
    <cfRule type="cellIs" dxfId="14" priority="13" operator="lessThan">
      <formula>0.9</formula>
    </cfRule>
    <cfRule type="cellIs" dxfId="13" priority="14" operator="greaterThan">
      <formula>0.94</formula>
    </cfRule>
  </conditionalFormatting>
  <conditionalFormatting sqref="BE18:BE27">
    <cfRule type="cellIs" dxfId="12" priority="8" operator="lessThan">
      <formula>0.95</formula>
    </cfRule>
    <cfRule type="cellIs" dxfId="11" priority="9" operator="between">
      <formula>0.95</formula>
      <formula>1.05</formula>
    </cfRule>
    <cfRule type="cellIs" dxfId="10" priority="10" operator="between">
      <formula>1.05</formula>
      <formula>11.5</formula>
    </cfRule>
    <cfRule type="cellIs" dxfId="9" priority="11" operator="greaterThan">
      <formula>1.15</formula>
    </cfRule>
  </conditionalFormatting>
  <conditionalFormatting sqref="BF4:BF13">
    <cfRule type="cellIs" dxfId="8" priority="5" operator="between">
      <formula>0.9</formula>
      <formula>0.9499</formula>
    </cfRule>
    <cfRule type="cellIs" dxfId="7" priority="6" operator="lessThan">
      <formula>0.9</formula>
    </cfRule>
    <cfRule type="cellIs" dxfId="6" priority="7" operator="greaterThan">
      <formula>0.94</formula>
    </cfRule>
  </conditionalFormatting>
  <conditionalFormatting sqref="BE4:BE13">
    <cfRule type="cellIs" dxfId="5" priority="1" operator="lessThan">
      <formula>0.95</formula>
    </cfRule>
    <cfRule type="cellIs" dxfId="4" priority="2" operator="between">
      <formula>0.95</formula>
      <formula>1.05</formula>
    </cfRule>
    <cfRule type="cellIs" dxfId="3" priority="3" operator="between">
      <formula>1.05</formula>
      <formula>1.15</formula>
    </cfRule>
    <cfRule type="cellIs" dxfId="2" priority="4" operator="greaterThan">
      <formula>1.15</formula>
    </cfRule>
  </conditionalFormatting>
  <pageMargins left="0.7" right="0.7" top="0.75" bottom="0.75" header="0.3" footer="0.3"/>
  <ignoredErrors>
    <ignoredError sqref="Z28" unlocked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327F3-AE7C-4B27-8272-72C9E890F3A1}">
  <sheetPr codeName="Sheet2">
    <tabColor rgb="FFFFFF00"/>
  </sheetPr>
  <dimension ref="A1:W39"/>
  <sheetViews>
    <sheetView zoomScaleNormal="100" workbookViewId="0">
      <selection activeCell="H3" sqref="H3:H9"/>
    </sheetView>
  </sheetViews>
  <sheetFormatPr defaultRowHeight="14.5" x14ac:dyDescent="0.35"/>
  <cols>
    <col min="2" max="2" width="20" bestFit="1" customWidth="1"/>
    <col min="3" max="3" width="10.90625" bestFit="1" customWidth="1"/>
    <col min="5" max="5" width="22.08984375" customWidth="1"/>
    <col min="7" max="7" width="3.453125" customWidth="1"/>
    <col min="8" max="8" width="21" customWidth="1"/>
    <col min="11" max="11" width="22.453125" customWidth="1"/>
    <col min="13" max="13" width="4.08984375" customWidth="1"/>
    <col min="14" max="14" width="22" customWidth="1"/>
    <col min="16" max="16" width="4" customWidth="1"/>
    <col min="17" max="17" width="22.90625" customWidth="1"/>
  </cols>
  <sheetData>
    <row r="1" spans="1:23" ht="15" thickBot="1" x14ac:dyDescent="0.4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</row>
    <row r="2" spans="1:23" ht="15" thickTop="1" x14ac:dyDescent="0.35">
      <c r="A2" s="80"/>
      <c r="B2" s="51" t="s">
        <v>13</v>
      </c>
      <c r="C2" s="52" t="s">
        <v>14</v>
      </c>
      <c r="D2" s="80"/>
      <c r="E2" s="99" t="s">
        <v>35</v>
      </c>
      <c r="F2" s="53" t="s">
        <v>15</v>
      </c>
      <c r="G2" s="80"/>
      <c r="H2" s="100" t="s">
        <v>36</v>
      </c>
      <c r="I2" s="54" t="s">
        <v>15</v>
      </c>
      <c r="J2" s="80"/>
      <c r="K2" s="99" t="s">
        <v>35</v>
      </c>
      <c r="L2" s="53" t="s">
        <v>15</v>
      </c>
      <c r="M2" s="80"/>
      <c r="N2" s="100" t="s">
        <v>36</v>
      </c>
      <c r="O2" s="54" t="s">
        <v>15</v>
      </c>
      <c r="P2" s="80"/>
      <c r="Q2" s="101" t="s">
        <v>37</v>
      </c>
      <c r="R2" s="64" t="s">
        <v>15</v>
      </c>
      <c r="S2" s="80"/>
      <c r="T2" s="80"/>
      <c r="U2" s="80"/>
      <c r="V2" s="80"/>
      <c r="W2" s="80"/>
    </row>
    <row r="3" spans="1:23" x14ac:dyDescent="0.35">
      <c r="A3" s="80"/>
      <c r="B3" s="81" t="str">
        <f>IF(ISBLANK(Roster!A2),"",Roster!A2)</f>
        <v>Employee #1</v>
      </c>
      <c r="C3" s="114">
        <f>IF(ISBLANK('Week 1'!I2),"",'Week 1'!I2+'Week 2'!I2+'Week 3'!I2+'Week 4'!I2+'Week 5'!I2)</f>
        <v>6</v>
      </c>
      <c r="D3" s="80"/>
      <c r="E3" s="97" t="s">
        <v>71</v>
      </c>
      <c r="F3" s="83">
        <f>IFERROR(_xlfn.XLOOKUP(E3,$B:$B,$C:$C),"")</f>
        <v>6</v>
      </c>
      <c r="G3" s="80"/>
      <c r="H3" s="97" t="s">
        <v>78</v>
      </c>
      <c r="I3" s="83">
        <f>IFERROR(_xlfn.XLOOKUP(H3,$B:$B,$C:$C),"")</f>
        <v>4</v>
      </c>
      <c r="J3" s="80"/>
      <c r="K3" s="110"/>
      <c r="L3" s="83">
        <f>IFERROR(_xlfn.XLOOKUP(K3,$B:$B,$C:$C),"")</f>
        <v>0</v>
      </c>
      <c r="M3" s="80"/>
      <c r="N3" s="110"/>
      <c r="O3" s="83">
        <f>IFERROR(_xlfn.XLOOKUP(N3,$B:$B,$C:$C),"")</f>
        <v>0</v>
      </c>
      <c r="P3" s="80"/>
      <c r="Q3" s="110"/>
      <c r="R3" s="83">
        <f>IFERROR(_xlfn.XLOOKUP(Q3,$B:$B,$C:$C),"")</f>
        <v>0</v>
      </c>
      <c r="S3" s="80"/>
      <c r="T3" s="80"/>
      <c r="U3" s="80"/>
      <c r="V3" s="80"/>
      <c r="W3" s="80"/>
    </row>
    <row r="4" spans="1:23" x14ac:dyDescent="0.35">
      <c r="A4" s="80"/>
      <c r="B4" s="81" t="str">
        <f>IF(ISBLANK(Roster!A3),"",Roster!A3)</f>
        <v>Employee #2</v>
      </c>
      <c r="C4" s="114">
        <f>IF(ISBLANK('Week 1'!I3),"",'Week 1'!I3+'Week 2'!I3+'Week 3'!I3+'Week 4'!I3+'Week 5'!I3)</f>
        <v>4</v>
      </c>
      <c r="D4" s="80"/>
      <c r="E4" s="97" t="s">
        <v>72</v>
      </c>
      <c r="F4" s="83">
        <f t="shared" ref="F4:F23" si="0">IFERROR(_xlfn.XLOOKUP(E4,$B:$B,$C:$C),"")</f>
        <v>4</v>
      </c>
      <c r="G4" s="80"/>
      <c r="H4" s="97" t="s">
        <v>79</v>
      </c>
      <c r="I4" s="83">
        <f t="shared" ref="I4:I23" si="1">IFERROR(_xlfn.XLOOKUP(H4,$B:$B,$C:$C),"")</f>
        <v>0</v>
      </c>
      <c r="J4" s="80"/>
      <c r="K4" s="110"/>
      <c r="L4" s="83">
        <f t="shared" ref="L4:L8" si="2">IFERROR(_xlfn.XLOOKUP(K4,$B:$B,$C:$C),"")</f>
        <v>0</v>
      </c>
      <c r="M4" s="80"/>
      <c r="N4" s="110"/>
      <c r="O4" s="83">
        <f t="shared" ref="O4:O8" si="3">IFERROR(_xlfn.XLOOKUP(N4,$B:$B,$C:$C),"")</f>
        <v>0</v>
      </c>
      <c r="P4" s="80"/>
      <c r="Q4" s="110"/>
      <c r="R4" s="83">
        <f t="shared" ref="R4:R8" si="4">IFERROR(_xlfn.XLOOKUP(Q4,$B:$B,$C:$C),"")</f>
        <v>0</v>
      </c>
      <c r="S4" s="80"/>
      <c r="T4" s="80"/>
      <c r="U4" s="80"/>
      <c r="V4" s="80"/>
      <c r="W4" s="80"/>
    </row>
    <row r="5" spans="1:23" x14ac:dyDescent="0.35">
      <c r="A5" s="80"/>
      <c r="B5" s="81" t="str">
        <f>IF(ISBLANK(Roster!A4),"",Roster!A4)</f>
        <v>Employee #3</v>
      </c>
      <c r="C5" s="114">
        <f>IF(ISBLANK('Week 1'!I4),"",'Week 1'!I4+'Week 2'!I4+'Week 3'!I4+'Week 4'!I4+'Week 5'!I4)</f>
        <v>2</v>
      </c>
      <c r="D5" s="80"/>
      <c r="E5" s="97" t="s">
        <v>73</v>
      </c>
      <c r="F5" s="83">
        <f t="shared" si="0"/>
        <v>2</v>
      </c>
      <c r="G5" s="80"/>
      <c r="H5" s="97" t="s">
        <v>80</v>
      </c>
      <c r="I5" s="83">
        <f t="shared" si="1"/>
        <v>4</v>
      </c>
      <c r="J5" s="80"/>
      <c r="K5" s="110"/>
      <c r="L5" s="83">
        <f t="shared" si="2"/>
        <v>0</v>
      </c>
      <c r="M5" s="80"/>
      <c r="N5" s="110"/>
      <c r="O5" s="83">
        <f t="shared" si="3"/>
        <v>0</v>
      </c>
      <c r="P5" s="80"/>
      <c r="Q5" s="110"/>
      <c r="R5" s="83">
        <f t="shared" si="4"/>
        <v>0</v>
      </c>
      <c r="S5" s="80"/>
      <c r="T5" s="80"/>
      <c r="U5" s="80"/>
      <c r="V5" s="80"/>
      <c r="W5" s="80"/>
    </row>
    <row r="6" spans="1:23" x14ac:dyDescent="0.35">
      <c r="A6" s="80"/>
      <c r="B6" s="81" t="str">
        <f>IF(ISBLANK(Roster!A5),"",Roster!A5)</f>
        <v>Employee #4</v>
      </c>
      <c r="C6" s="114">
        <f>IF(ISBLANK('Week 1'!I5),"",'Week 1'!I5+'Week 2'!I5+'Week 3'!I5+'Week 4'!I5+'Week 5'!I5)</f>
        <v>4</v>
      </c>
      <c r="D6" s="80"/>
      <c r="E6" s="97" t="s">
        <v>74</v>
      </c>
      <c r="F6" s="83">
        <f t="shared" si="0"/>
        <v>4</v>
      </c>
      <c r="G6" s="80"/>
      <c r="H6" s="97" t="s">
        <v>81</v>
      </c>
      <c r="I6" s="83">
        <f t="shared" si="1"/>
        <v>5</v>
      </c>
      <c r="J6" s="80"/>
      <c r="K6" s="110"/>
      <c r="L6" s="83">
        <f t="shared" si="2"/>
        <v>0</v>
      </c>
      <c r="M6" s="80"/>
      <c r="N6" s="110"/>
      <c r="O6" s="83">
        <f t="shared" si="3"/>
        <v>0</v>
      </c>
      <c r="P6" s="80"/>
      <c r="Q6" s="110"/>
      <c r="R6" s="83">
        <f t="shared" si="4"/>
        <v>0</v>
      </c>
      <c r="S6" s="80"/>
      <c r="T6" s="80"/>
      <c r="U6" s="80"/>
      <c r="V6" s="80"/>
      <c r="W6" s="80"/>
    </row>
    <row r="7" spans="1:23" x14ac:dyDescent="0.35">
      <c r="A7" s="80"/>
      <c r="B7" s="81" t="str">
        <f>IF(ISBLANK(Roster!A6),"",Roster!A6)</f>
        <v>Employee #5</v>
      </c>
      <c r="C7" s="114">
        <f>IF(ISBLANK('Week 1'!I6),"",'Week 1'!I6+'Week 2'!I6+'Week 3'!I6+'Week 4'!I6+'Week 5'!I6)</f>
        <v>4</v>
      </c>
      <c r="D7" s="80"/>
      <c r="E7" s="97" t="s">
        <v>75</v>
      </c>
      <c r="F7" s="83">
        <f t="shared" si="0"/>
        <v>4</v>
      </c>
      <c r="G7" s="80"/>
      <c r="H7" s="97" t="s">
        <v>82</v>
      </c>
      <c r="I7" s="83">
        <f t="shared" si="1"/>
        <v>4</v>
      </c>
      <c r="J7" s="80"/>
      <c r="K7" s="110"/>
      <c r="L7" s="83">
        <f t="shared" si="2"/>
        <v>0</v>
      </c>
      <c r="M7" s="80"/>
      <c r="N7" s="110"/>
      <c r="O7" s="83">
        <f t="shared" si="3"/>
        <v>0</v>
      </c>
      <c r="P7" s="80"/>
      <c r="Q7" s="110"/>
      <c r="R7" s="83">
        <f t="shared" si="4"/>
        <v>0</v>
      </c>
      <c r="S7" s="80"/>
      <c r="T7" s="80"/>
      <c r="U7" s="80"/>
      <c r="V7" s="80"/>
      <c r="W7" s="80"/>
    </row>
    <row r="8" spans="1:23" x14ac:dyDescent="0.35">
      <c r="A8" s="80"/>
      <c r="B8" s="81" t="str">
        <f>IF(ISBLANK(Roster!A7),"",Roster!A7)</f>
        <v>Employee #6</v>
      </c>
      <c r="C8" s="114">
        <f>IF(ISBLANK('Week 1'!I7),"",'Week 1'!I7+'Week 2'!I7+'Week 3'!I7+'Week 4'!I7+'Week 5'!I7)</f>
        <v>4</v>
      </c>
      <c r="D8" s="80"/>
      <c r="E8" s="97" t="s">
        <v>76</v>
      </c>
      <c r="F8" s="83">
        <f t="shared" si="0"/>
        <v>4</v>
      </c>
      <c r="G8" s="80"/>
      <c r="H8" s="97" t="s">
        <v>83</v>
      </c>
      <c r="I8" s="83">
        <f t="shared" si="1"/>
        <v>0</v>
      </c>
      <c r="J8" s="80"/>
      <c r="K8" s="110"/>
      <c r="L8" s="83">
        <f t="shared" si="2"/>
        <v>0</v>
      </c>
      <c r="M8" s="80"/>
      <c r="N8" s="97"/>
      <c r="O8" s="83">
        <f t="shared" si="3"/>
        <v>0</v>
      </c>
      <c r="P8" s="80"/>
      <c r="Q8" s="97"/>
      <c r="R8" s="83">
        <f t="shared" si="4"/>
        <v>0</v>
      </c>
      <c r="S8" s="80"/>
      <c r="T8" s="80"/>
      <c r="U8" s="80"/>
      <c r="V8" s="80"/>
      <c r="W8" s="80"/>
    </row>
    <row r="9" spans="1:23" ht="15" thickBot="1" x14ac:dyDescent="0.4">
      <c r="A9" s="80"/>
      <c r="B9" s="81" t="str">
        <f>IF(ISBLANK(Roster!A8),"",Roster!A8)</f>
        <v>Employee #7</v>
      </c>
      <c r="C9" s="114">
        <f>IF(ISBLANK('Week 1'!I8),"",'Week 1'!I8+'Week 2'!I8+'Week 3'!I8+'Week 4'!I8+'Week 5'!I8)</f>
        <v>3</v>
      </c>
      <c r="D9" s="80"/>
      <c r="E9" s="97" t="s">
        <v>77</v>
      </c>
      <c r="F9" s="83">
        <f t="shared" si="0"/>
        <v>3</v>
      </c>
      <c r="G9" s="80"/>
      <c r="H9" s="97" t="s">
        <v>84</v>
      </c>
      <c r="I9" s="83">
        <f t="shared" si="1"/>
        <v>5</v>
      </c>
      <c r="J9" s="80"/>
      <c r="K9" s="62" t="s">
        <v>29</v>
      </c>
      <c r="L9" s="84">
        <f>SUM(L3:L8)</f>
        <v>0</v>
      </c>
      <c r="M9" s="80"/>
      <c r="N9" s="63" t="s">
        <v>29</v>
      </c>
      <c r="O9" s="85">
        <f>SUM(O3:O8)</f>
        <v>0</v>
      </c>
      <c r="P9" s="80"/>
      <c r="Q9" s="66" t="s">
        <v>29</v>
      </c>
      <c r="R9" s="90">
        <f>SUM(R3:R8)</f>
        <v>0</v>
      </c>
      <c r="S9" s="80"/>
      <c r="T9" s="80"/>
      <c r="U9" s="80"/>
      <c r="V9" s="80"/>
      <c r="W9" s="80"/>
    </row>
    <row r="10" spans="1:23" ht="15.5" thickTop="1" thickBot="1" x14ac:dyDescent="0.4">
      <c r="A10" s="80"/>
      <c r="B10" s="81" t="str">
        <f>IF(ISBLANK(Roster!A9),"",Roster!A9)</f>
        <v>Employee #8</v>
      </c>
      <c r="C10" s="114">
        <f>IF(ISBLANK('Week 1'!I9),"",'Week 1'!I9+'Week 2'!I9+'Week 3'!I9+'Week 4'!I9+'Week 5'!I9)</f>
        <v>4</v>
      </c>
      <c r="D10" s="80"/>
      <c r="E10" s="97"/>
      <c r="F10" s="83">
        <f t="shared" si="0"/>
        <v>0</v>
      </c>
      <c r="G10" s="80"/>
      <c r="H10" s="97"/>
      <c r="I10" s="83">
        <f t="shared" si="1"/>
        <v>0</v>
      </c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</row>
    <row r="11" spans="1:23" ht="15" thickTop="1" x14ac:dyDescent="0.35">
      <c r="A11" s="80"/>
      <c r="B11" s="81" t="str">
        <f>IF(ISBLANK(Roster!A10),"",Roster!A10)</f>
        <v>Employee #9</v>
      </c>
      <c r="C11" s="114">
        <f>IF(ISBLANK('Week 1'!I10),"",'Week 1'!I10+'Week 2'!I10+'Week 3'!I10+'Week 4'!I10+'Week 5'!I10)</f>
        <v>0</v>
      </c>
      <c r="D11" s="80"/>
      <c r="E11" s="97"/>
      <c r="F11" s="83">
        <f t="shared" si="0"/>
        <v>0</v>
      </c>
      <c r="G11" s="80"/>
      <c r="H11" s="97"/>
      <c r="I11" s="83">
        <f t="shared" si="1"/>
        <v>0</v>
      </c>
      <c r="J11" s="80"/>
      <c r="K11" s="102" t="s">
        <v>38</v>
      </c>
      <c r="L11" s="65" t="s">
        <v>15</v>
      </c>
      <c r="M11" s="80"/>
      <c r="N11" s="103" t="s">
        <v>30</v>
      </c>
      <c r="O11" s="70" t="s">
        <v>15</v>
      </c>
      <c r="P11" s="80"/>
      <c r="Q11" s="104" t="s">
        <v>31</v>
      </c>
      <c r="R11" s="72" t="s">
        <v>15</v>
      </c>
      <c r="S11" s="80"/>
      <c r="T11" s="80"/>
      <c r="U11" s="80"/>
      <c r="V11" s="80"/>
      <c r="W11" s="80"/>
    </row>
    <row r="12" spans="1:23" x14ac:dyDescent="0.35">
      <c r="A12" s="80"/>
      <c r="B12" s="81" t="str">
        <f>IF(ISBLANK(Roster!A11),"",Roster!A11)</f>
        <v>Employee #10</v>
      </c>
      <c r="C12" s="114">
        <f>IF(ISBLANK('Week 1'!I11),"",'Week 1'!I11+'Week 2'!I11+'Week 3'!I11+'Week 4'!I11+'Week 5'!I11)</f>
        <v>4</v>
      </c>
      <c r="D12" s="80"/>
      <c r="E12" s="97"/>
      <c r="F12" s="83">
        <f t="shared" si="0"/>
        <v>0</v>
      </c>
      <c r="G12" s="80"/>
      <c r="H12" s="97"/>
      <c r="I12" s="83">
        <f t="shared" si="1"/>
        <v>0</v>
      </c>
      <c r="J12" s="80"/>
      <c r="K12" s="110"/>
      <c r="L12" s="83">
        <f t="shared" ref="L12:L17" si="5">IFERROR(_xlfn.XLOOKUP(K12,$B:$B,$C:$C),"")</f>
        <v>0</v>
      </c>
      <c r="M12" s="80"/>
      <c r="N12" s="97"/>
      <c r="O12" s="83">
        <f t="shared" ref="O12:O17" si="6">IFERROR(_xlfn.XLOOKUP(N12,$B:$B,$C:$C),"")</f>
        <v>0</v>
      </c>
      <c r="P12" s="80"/>
      <c r="Q12" s="97"/>
      <c r="R12" s="83">
        <f t="shared" ref="R12:R17" si="7">IFERROR(_xlfn.XLOOKUP(Q12,$B:$B,$C:$C),"")</f>
        <v>0</v>
      </c>
      <c r="S12" s="80"/>
      <c r="T12" s="80"/>
      <c r="U12" s="80"/>
      <c r="V12" s="80"/>
      <c r="W12" s="80"/>
    </row>
    <row r="13" spans="1:23" x14ac:dyDescent="0.35">
      <c r="A13" s="80"/>
      <c r="B13" s="81" t="str">
        <f>IF(ISBLANK(Roster!A12),"",Roster!A12)</f>
        <v>Employee #11</v>
      </c>
      <c r="C13" s="114">
        <f>IF(ISBLANK('Week 1'!I12),"",'Week 1'!I12+'Week 2'!I12+'Week 3'!I12+'Week 4'!I12+'Week 5'!I12)</f>
        <v>5</v>
      </c>
      <c r="D13" s="80"/>
      <c r="E13" s="97"/>
      <c r="F13" s="83">
        <f t="shared" si="0"/>
        <v>0</v>
      </c>
      <c r="G13" s="80"/>
      <c r="H13" s="97"/>
      <c r="I13" s="83">
        <f t="shared" si="1"/>
        <v>0</v>
      </c>
      <c r="J13" s="80"/>
      <c r="K13" s="110"/>
      <c r="L13" s="83">
        <f t="shared" si="5"/>
        <v>0</v>
      </c>
      <c r="M13" s="80"/>
      <c r="N13" s="97"/>
      <c r="O13" s="83">
        <f t="shared" si="6"/>
        <v>0</v>
      </c>
      <c r="P13" s="80"/>
      <c r="Q13" s="97"/>
      <c r="R13" s="83">
        <f t="shared" si="7"/>
        <v>0</v>
      </c>
      <c r="S13" s="80"/>
      <c r="T13" s="80"/>
      <c r="U13" s="80"/>
      <c r="V13" s="80"/>
      <c r="W13" s="80"/>
    </row>
    <row r="14" spans="1:23" x14ac:dyDescent="0.35">
      <c r="A14" s="80"/>
      <c r="B14" s="81" t="str">
        <f>IF(ISBLANK(Roster!A13),"",Roster!A13)</f>
        <v>Employee #12</v>
      </c>
      <c r="C14" s="114">
        <f>IF(ISBLANK('Week 1'!I13),"",'Week 1'!I13+'Week 2'!I13+'Week 3'!I13+'Week 4'!I13+'Week 5'!I13)</f>
        <v>4</v>
      </c>
      <c r="D14" s="80"/>
      <c r="E14" s="97"/>
      <c r="F14" s="83">
        <f t="shared" si="0"/>
        <v>0</v>
      </c>
      <c r="G14" s="80"/>
      <c r="H14" s="97"/>
      <c r="I14" s="83">
        <f t="shared" si="1"/>
        <v>0</v>
      </c>
      <c r="J14" s="80"/>
      <c r="K14" s="110"/>
      <c r="L14" s="83">
        <f t="shared" si="5"/>
        <v>0</v>
      </c>
      <c r="M14" s="80"/>
      <c r="N14" s="97"/>
      <c r="O14" s="83">
        <f t="shared" si="6"/>
        <v>0</v>
      </c>
      <c r="P14" s="80"/>
      <c r="Q14" s="97"/>
      <c r="R14" s="83">
        <f t="shared" si="7"/>
        <v>0</v>
      </c>
      <c r="S14" s="80"/>
      <c r="T14" s="80"/>
      <c r="U14" s="80"/>
      <c r="V14" s="80"/>
      <c r="W14" s="80"/>
    </row>
    <row r="15" spans="1:23" x14ac:dyDescent="0.35">
      <c r="A15" s="80"/>
      <c r="B15" s="81" t="str">
        <f>IF(ISBLANK(Roster!A14),"",Roster!A14)</f>
        <v>Employee #13</v>
      </c>
      <c r="C15" s="114">
        <f>IF(ISBLANK('Week 1'!I14),"",'Week 1'!I14+'Week 2'!I14+'Week 3'!I14+'Week 4'!I14+'Week 5'!I14)</f>
        <v>0</v>
      </c>
      <c r="D15" s="80"/>
      <c r="E15" s="97"/>
      <c r="F15" s="83">
        <f t="shared" si="0"/>
        <v>0</v>
      </c>
      <c r="G15" s="80"/>
      <c r="H15" s="97"/>
      <c r="I15" s="83">
        <f t="shared" si="1"/>
        <v>0</v>
      </c>
      <c r="J15" s="80"/>
      <c r="K15" s="110"/>
      <c r="L15" s="83">
        <f t="shared" si="5"/>
        <v>0</v>
      </c>
      <c r="M15" s="80"/>
      <c r="N15" s="97"/>
      <c r="O15" s="83">
        <f t="shared" si="6"/>
        <v>0</v>
      </c>
      <c r="P15" s="80"/>
      <c r="Q15" s="97"/>
      <c r="R15" s="83">
        <f t="shared" si="7"/>
        <v>0</v>
      </c>
      <c r="S15" s="80"/>
      <c r="T15" s="80"/>
      <c r="U15" s="80"/>
      <c r="V15" s="80"/>
      <c r="W15" s="80"/>
    </row>
    <row r="16" spans="1:23" x14ac:dyDescent="0.35">
      <c r="A16" s="80"/>
      <c r="B16" s="81" t="str">
        <f>IF(ISBLANK(Roster!A15),"",Roster!A15)</f>
        <v>Employee #14</v>
      </c>
      <c r="C16" s="114">
        <f>IF(ISBLANK('Week 1'!I15),"",'Week 1'!I15+'Week 2'!I15+'Week 3'!I15+'Week 4'!I15+'Week 5'!I15)</f>
        <v>5</v>
      </c>
      <c r="D16" s="80"/>
      <c r="E16" s="97"/>
      <c r="F16" s="83">
        <f t="shared" si="0"/>
        <v>0</v>
      </c>
      <c r="G16" s="80"/>
      <c r="H16" s="97"/>
      <c r="I16" s="83">
        <f t="shared" si="1"/>
        <v>0</v>
      </c>
      <c r="J16" s="80"/>
      <c r="K16" s="110"/>
      <c r="L16" s="83">
        <f t="shared" si="5"/>
        <v>0</v>
      </c>
      <c r="M16" s="80"/>
      <c r="N16" s="97"/>
      <c r="O16" s="83">
        <f t="shared" si="6"/>
        <v>0</v>
      </c>
      <c r="P16" s="80"/>
      <c r="Q16" s="97"/>
      <c r="R16" s="83">
        <f t="shared" si="7"/>
        <v>0</v>
      </c>
      <c r="S16" s="80"/>
      <c r="T16" s="80"/>
      <c r="U16" s="80"/>
      <c r="V16" s="80"/>
      <c r="W16" s="80"/>
    </row>
    <row r="17" spans="1:23" x14ac:dyDescent="0.35">
      <c r="A17" s="80"/>
      <c r="B17" s="81" t="str">
        <f>IF(ISBLANK(Roster!A16),"",Roster!A16)</f>
        <v/>
      </c>
      <c r="C17" s="114">
        <f>IF(ISBLANK('Week 1'!I16),"",'Week 1'!I16+'Week 2'!I16+'Week 3'!I16+'Week 4'!I16+'Week 5'!I16)</f>
        <v>0</v>
      </c>
      <c r="D17" s="80"/>
      <c r="E17" s="97"/>
      <c r="F17" s="83">
        <f t="shared" si="0"/>
        <v>0</v>
      </c>
      <c r="G17" s="80"/>
      <c r="H17" s="97"/>
      <c r="I17" s="83">
        <f t="shared" si="1"/>
        <v>0</v>
      </c>
      <c r="J17" s="80"/>
      <c r="K17" s="97"/>
      <c r="L17" s="83">
        <f t="shared" si="5"/>
        <v>0</v>
      </c>
      <c r="M17" s="80"/>
      <c r="N17" s="97"/>
      <c r="O17" s="83">
        <f t="shared" si="6"/>
        <v>0</v>
      </c>
      <c r="P17" s="80"/>
      <c r="Q17" s="97"/>
      <c r="R17" s="83">
        <f t="shared" si="7"/>
        <v>0</v>
      </c>
      <c r="S17" s="80"/>
      <c r="T17" s="80"/>
      <c r="U17" s="80"/>
      <c r="V17" s="80"/>
      <c r="W17" s="80"/>
    </row>
    <row r="18" spans="1:23" ht="15" thickBot="1" x14ac:dyDescent="0.4">
      <c r="A18" s="80"/>
      <c r="B18" s="81" t="str">
        <f>IF(ISBLANK(Roster!A17),"",Roster!A17)</f>
        <v/>
      </c>
      <c r="C18" s="114">
        <f>IF(ISBLANK('Week 1'!I17),"",'Week 1'!I17+'Week 2'!I17+'Week 3'!I17+'Week 4'!I17+'Week 5'!I17)</f>
        <v>0</v>
      </c>
      <c r="D18" s="80"/>
      <c r="E18" s="97"/>
      <c r="F18" s="83">
        <f t="shared" si="0"/>
        <v>0</v>
      </c>
      <c r="G18" s="80"/>
      <c r="H18" s="97"/>
      <c r="I18" s="83">
        <f t="shared" si="1"/>
        <v>0</v>
      </c>
      <c r="J18" s="80"/>
      <c r="K18" s="67" t="s">
        <v>29</v>
      </c>
      <c r="L18" s="86">
        <f>SUM(L12:L17)</f>
        <v>0</v>
      </c>
      <c r="M18" s="80"/>
      <c r="N18" s="71" t="s">
        <v>29</v>
      </c>
      <c r="O18" s="88">
        <f>SUM(O12:O17)</f>
        <v>0</v>
      </c>
      <c r="P18" s="80"/>
      <c r="Q18" s="73" t="s">
        <v>29</v>
      </c>
      <c r="R18" s="91">
        <f>SUM(R12:R17)</f>
        <v>0</v>
      </c>
      <c r="S18" s="80"/>
      <c r="T18" s="80"/>
      <c r="U18" s="80"/>
      <c r="V18" s="80"/>
      <c r="W18" s="80"/>
    </row>
    <row r="19" spans="1:23" ht="15.5" thickTop="1" thickBot="1" x14ac:dyDescent="0.4">
      <c r="A19" s="80"/>
      <c r="B19" s="81" t="str">
        <f>IF(ISBLANK(Roster!A18),"",Roster!A18)</f>
        <v/>
      </c>
      <c r="C19" s="114">
        <f>IF(ISBLANK('Week 1'!I18),"",'Week 1'!I18+'Week 2'!I18+'Week 3'!I18+'Week 4'!I18+'Week 5'!I18)</f>
        <v>0</v>
      </c>
      <c r="D19" s="80"/>
      <c r="E19" s="97"/>
      <c r="F19" s="83">
        <f t="shared" si="0"/>
        <v>0</v>
      </c>
      <c r="G19" s="80"/>
      <c r="H19" s="97"/>
      <c r="I19" s="83">
        <f t="shared" si="1"/>
        <v>0</v>
      </c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</row>
    <row r="20" spans="1:23" ht="15" thickTop="1" x14ac:dyDescent="0.35">
      <c r="A20" s="80"/>
      <c r="B20" s="81" t="str">
        <f>IF(ISBLANK(Roster!A19),"",Roster!A19)</f>
        <v/>
      </c>
      <c r="C20" s="114">
        <f>IF(ISBLANK('Week 1'!I19),"",'Week 1'!I19+'Week 2'!I19+'Week 3'!I19+'Week 4'!I19+'Week 5'!I19)</f>
        <v>0</v>
      </c>
      <c r="D20" s="80"/>
      <c r="E20" s="97"/>
      <c r="F20" s="83">
        <f t="shared" si="0"/>
        <v>0</v>
      </c>
      <c r="G20" s="80"/>
      <c r="H20" s="97"/>
      <c r="I20" s="83">
        <f t="shared" si="1"/>
        <v>0</v>
      </c>
      <c r="J20" s="80"/>
      <c r="K20" s="105" t="s">
        <v>32</v>
      </c>
      <c r="L20" s="74" t="s">
        <v>15</v>
      </c>
      <c r="M20" s="80"/>
      <c r="N20" s="106" t="s">
        <v>33</v>
      </c>
      <c r="O20" s="76" t="s">
        <v>15</v>
      </c>
      <c r="P20" s="80"/>
      <c r="Q20" s="107" t="s">
        <v>34</v>
      </c>
      <c r="R20" s="78" t="s">
        <v>15</v>
      </c>
      <c r="S20" s="80"/>
      <c r="T20" s="80"/>
      <c r="U20" s="80"/>
      <c r="V20" s="80"/>
      <c r="W20" s="80"/>
    </row>
    <row r="21" spans="1:23" x14ac:dyDescent="0.35">
      <c r="A21" s="80"/>
      <c r="B21" s="81" t="str">
        <f>IF(ISBLANK(Roster!A20),"",Roster!A20)</f>
        <v/>
      </c>
      <c r="C21" s="114">
        <f>IF(ISBLANK('Week 1'!I20),"",'Week 1'!I20+'Week 2'!I20+'Week 3'!I20+'Week 4'!I20+'Week 5'!I20)</f>
        <v>0</v>
      </c>
      <c r="D21" s="80"/>
      <c r="E21" s="97"/>
      <c r="F21" s="83">
        <f t="shared" si="0"/>
        <v>0</v>
      </c>
      <c r="G21" s="80"/>
      <c r="H21" s="97"/>
      <c r="I21" s="83">
        <f t="shared" si="1"/>
        <v>0</v>
      </c>
      <c r="J21" s="80"/>
      <c r="K21" s="97"/>
      <c r="L21" s="83">
        <f t="shared" ref="L21:L26" si="8">IFERROR(_xlfn.XLOOKUP(K21,$B:$B,$C:$C),"")</f>
        <v>0</v>
      </c>
      <c r="M21" s="80"/>
      <c r="N21" s="97"/>
      <c r="O21" s="83">
        <f t="shared" ref="O21:O26" si="9">IFERROR(_xlfn.XLOOKUP(N21,$B:$B,$C:$C),"")</f>
        <v>0</v>
      </c>
      <c r="P21" s="80"/>
      <c r="Q21" s="97"/>
      <c r="R21" s="83">
        <f t="shared" ref="R21:R26" si="10">IFERROR(_xlfn.XLOOKUP(Q21,$B:$B,$C:$C),"")</f>
        <v>0</v>
      </c>
      <c r="S21" s="80"/>
      <c r="T21" s="80"/>
      <c r="U21" s="80"/>
      <c r="V21" s="80"/>
      <c r="W21" s="80"/>
    </row>
    <row r="22" spans="1:23" x14ac:dyDescent="0.35">
      <c r="A22" s="80"/>
      <c r="B22" s="81" t="str">
        <f>IF(ISBLANK(Roster!A21),"",Roster!A21)</f>
        <v/>
      </c>
      <c r="C22" s="114">
        <f>IF(ISBLANK('Week 1'!I21),"",'Week 1'!I21+'Week 2'!I21+'Week 3'!I21+'Week 4'!I21+'Week 5'!I21)</f>
        <v>0</v>
      </c>
      <c r="D22" s="80"/>
      <c r="E22" s="97"/>
      <c r="F22" s="83">
        <f t="shared" si="0"/>
        <v>0</v>
      </c>
      <c r="G22" s="80"/>
      <c r="H22" s="97"/>
      <c r="I22" s="83">
        <f t="shared" si="1"/>
        <v>0</v>
      </c>
      <c r="J22" s="80"/>
      <c r="K22" s="97"/>
      <c r="L22" s="83">
        <f t="shared" si="8"/>
        <v>0</v>
      </c>
      <c r="M22" s="80"/>
      <c r="N22" s="97"/>
      <c r="O22" s="83">
        <f t="shared" si="9"/>
        <v>0</v>
      </c>
      <c r="P22" s="80"/>
      <c r="Q22" s="97"/>
      <c r="R22" s="83">
        <f t="shared" si="10"/>
        <v>0</v>
      </c>
      <c r="S22" s="80"/>
      <c r="T22" s="80"/>
      <c r="U22" s="80"/>
      <c r="V22" s="80"/>
      <c r="W22" s="80"/>
    </row>
    <row r="23" spans="1:23" ht="15" thickBot="1" x14ac:dyDescent="0.4">
      <c r="A23" s="80"/>
      <c r="B23" s="82" t="str">
        <f>IF(ISBLANK(Roster!A22),"",Roster!A22)</f>
        <v/>
      </c>
      <c r="C23" s="156">
        <f>IF(ISBLANK('Week 1'!I22),"",'Week 1'!I22+'Week 2'!I22+'Week 3'!I22+'Week 4'!I22+'Week 5'!I22)</f>
        <v>0</v>
      </c>
      <c r="D23" s="80"/>
      <c r="E23" s="97"/>
      <c r="F23" s="83">
        <f t="shared" si="0"/>
        <v>0</v>
      </c>
      <c r="G23" s="80"/>
      <c r="H23" s="97"/>
      <c r="I23" s="83">
        <f t="shared" si="1"/>
        <v>0</v>
      </c>
      <c r="J23" s="80"/>
      <c r="K23" s="97"/>
      <c r="L23" s="83">
        <f t="shared" si="8"/>
        <v>0</v>
      </c>
      <c r="M23" s="80"/>
      <c r="N23" s="97"/>
      <c r="O23" s="83">
        <f t="shared" si="9"/>
        <v>0</v>
      </c>
      <c r="P23" s="80"/>
      <c r="Q23" s="97"/>
      <c r="R23" s="83">
        <f t="shared" si="10"/>
        <v>0</v>
      </c>
      <c r="S23" s="80"/>
      <c r="T23" s="80"/>
      <c r="U23" s="80"/>
      <c r="V23" s="80"/>
      <c r="W23" s="80"/>
    </row>
    <row r="24" spans="1:23" ht="15.5" thickTop="1" thickBot="1" x14ac:dyDescent="0.4">
      <c r="A24" s="80"/>
      <c r="B24" s="80"/>
      <c r="C24" s="80"/>
      <c r="D24" s="80"/>
      <c r="E24" s="62" t="s">
        <v>29</v>
      </c>
      <c r="F24" s="84">
        <f>SUM(F3:F23)</f>
        <v>27</v>
      </c>
      <c r="G24" s="80"/>
      <c r="H24" s="98" t="s">
        <v>29</v>
      </c>
      <c r="I24" s="85">
        <f>SUM(I3:I23)</f>
        <v>22</v>
      </c>
      <c r="J24" s="80"/>
      <c r="K24" s="97"/>
      <c r="L24" s="83">
        <f t="shared" si="8"/>
        <v>0</v>
      </c>
      <c r="M24" s="80"/>
      <c r="N24" s="97"/>
      <c r="O24" s="83">
        <f t="shared" si="9"/>
        <v>0</v>
      </c>
      <c r="P24" s="80"/>
      <c r="Q24" s="97"/>
      <c r="R24" s="83">
        <f t="shared" si="10"/>
        <v>0</v>
      </c>
      <c r="S24" s="80"/>
      <c r="T24" s="80"/>
      <c r="U24" s="80"/>
      <c r="V24" s="80"/>
      <c r="W24" s="80"/>
    </row>
    <row r="25" spans="1:23" ht="15.5" thickTop="1" thickBot="1" x14ac:dyDescent="0.4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97"/>
      <c r="L25" s="83">
        <f t="shared" si="8"/>
        <v>0</v>
      </c>
      <c r="M25" s="80"/>
      <c r="N25" s="97"/>
      <c r="O25" s="83">
        <f t="shared" si="9"/>
        <v>0</v>
      </c>
      <c r="P25" s="80"/>
      <c r="Q25" s="97"/>
      <c r="R25" s="83">
        <f t="shared" si="10"/>
        <v>0</v>
      </c>
      <c r="S25" s="80"/>
      <c r="T25" s="80"/>
      <c r="U25" s="80"/>
      <c r="V25" s="80"/>
      <c r="W25" s="80"/>
    </row>
    <row r="26" spans="1:23" ht="15" thickTop="1" x14ac:dyDescent="0.35">
      <c r="A26" s="80"/>
      <c r="B26" s="57" t="s">
        <v>22</v>
      </c>
      <c r="C26" s="58"/>
      <c r="D26" s="80"/>
      <c r="E26" s="80"/>
      <c r="F26" s="80"/>
      <c r="G26" s="80"/>
      <c r="H26" s="80"/>
      <c r="I26" s="80"/>
      <c r="J26" s="80"/>
      <c r="K26" s="97"/>
      <c r="L26" s="83">
        <f t="shared" si="8"/>
        <v>0</v>
      </c>
      <c r="M26" s="80"/>
      <c r="N26" s="97"/>
      <c r="O26" s="83">
        <f t="shared" si="9"/>
        <v>0</v>
      </c>
      <c r="P26" s="80"/>
      <c r="Q26" s="97"/>
      <c r="R26" s="83">
        <f t="shared" si="10"/>
        <v>0</v>
      </c>
      <c r="S26" s="80"/>
      <c r="T26" s="80"/>
      <c r="U26" s="80"/>
      <c r="V26" s="80"/>
      <c r="W26" s="80"/>
    </row>
    <row r="27" spans="1:23" ht="15" thickBot="1" x14ac:dyDescent="0.4">
      <c r="A27" s="80"/>
      <c r="B27" s="59" t="s">
        <v>23</v>
      </c>
      <c r="C27" s="61" t="s">
        <v>15</v>
      </c>
      <c r="D27" s="80"/>
      <c r="E27" s="80"/>
      <c r="F27" s="80"/>
      <c r="G27" s="80"/>
      <c r="H27" s="80"/>
      <c r="I27" s="80"/>
      <c r="J27" s="80"/>
      <c r="K27" s="75" t="s">
        <v>29</v>
      </c>
      <c r="L27" s="87">
        <f>SUM(L21:L26)</f>
        <v>0</v>
      </c>
      <c r="M27" s="80"/>
      <c r="N27" s="77" t="s">
        <v>29</v>
      </c>
      <c r="O27" s="89">
        <f>SUM(O21:O26)</f>
        <v>0</v>
      </c>
      <c r="P27" s="80"/>
      <c r="Q27" s="79" t="s">
        <v>29</v>
      </c>
      <c r="R27" s="92">
        <f>SUM(R21:R26)</f>
        <v>0</v>
      </c>
      <c r="S27" s="80"/>
      <c r="T27" s="80"/>
      <c r="U27" s="80"/>
      <c r="V27" s="80"/>
      <c r="W27" s="80"/>
    </row>
    <row r="28" spans="1:23" ht="15" thickTop="1" x14ac:dyDescent="0.35">
      <c r="A28" s="80"/>
      <c r="B28" s="47" t="s">
        <v>39</v>
      </c>
      <c r="C28" s="48" t="s">
        <v>24</v>
      </c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</row>
    <row r="29" spans="1:23" x14ac:dyDescent="0.35">
      <c r="A29" s="80"/>
      <c r="B29" s="55" t="s">
        <v>43</v>
      </c>
      <c r="C29" s="56" t="s">
        <v>25</v>
      </c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</row>
    <row r="30" spans="1:23" ht="5.15" customHeight="1" x14ac:dyDescent="0.35">
      <c r="A30" s="80"/>
      <c r="B30" s="68"/>
      <c r="C30" s="69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</row>
    <row r="31" spans="1:23" x14ac:dyDescent="0.35">
      <c r="A31" s="80"/>
      <c r="B31" s="60" t="s">
        <v>11</v>
      </c>
      <c r="C31" s="61" t="s">
        <v>15</v>
      </c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</row>
    <row r="32" spans="1:23" x14ac:dyDescent="0.35">
      <c r="A32" s="80"/>
      <c r="B32" s="47" t="s">
        <v>40</v>
      </c>
      <c r="C32" s="48" t="s">
        <v>24</v>
      </c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</row>
    <row r="33" spans="1:23" x14ac:dyDescent="0.35">
      <c r="A33" s="80"/>
      <c r="B33" s="47" t="s">
        <v>41</v>
      </c>
      <c r="C33" s="48" t="s">
        <v>25</v>
      </c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</row>
    <row r="34" spans="1:23" x14ac:dyDescent="0.35">
      <c r="A34" s="80"/>
      <c r="B34" s="55" t="s">
        <v>42</v>
      </c>
      <c r="C34" s="56" t="s">
        <v>26</v>
      </c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</row>
    <row r="35" spans="1:23" ht="5.15" customHeight="1" x14ac:dyDescent="0.35">
      <c r="A35" s="80"/>
      <c r="B35" s="68"/>
      <c r="C35" s="69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</row>
    <row r="36" spans="1:23" x14ac:dyDescent="0.35">
      <c r="A36" s="80"/>
      <c r="B36" s="60" t="s">
        <v>12</v>
      </c>
      <c r="C36" s="61" t="s">
        <v>15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</row>
    <row r="37" spans="1:23" x14ac:dyDescent="0.35">
      <c r="A37" s="80"/>
      <c r="B37" s="47" t="s">
        <v>27</v>
      </c>
      <c r="C37" s="48" t="s">
        <v>24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</row>
    <row r="38" spans="1:23" ht="15" thickBot="1" x14ac:dyDescent="0.4">
      <c r="A38" s="80"/>
      <c r="B38" s="49" t="s">
        <v>28</v>
      </c>
      <c r="C38" s="50" t="s">
        <v>25</v>
      </c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</row>
    <row r="39" spans="1:23" ht="15" thickTop="1" x14ac:dyDescent="0.3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</row>
  </sheetData>
  <sheetProtection algorithmName="SHA-512" hashValue="Xr5A23kCfE98GTlhU2lv/yzg6xP8qYm3xXi6yqZb5coInfJYZheqYCE8QkeWKu6RYF61vzCar0CJqsTbpsAeKA==" saltValue="QQC1/7Tr+QqpRfriUIiAqg==" spinCount="100000" sheet="1" objects="1" scenarios="1"/>
  <phoneticPr fontId="30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ClearTeams">
                <anchor moveWithCells="1" sizeWithCells="1">
                  <from>
                    <xdr:col>4</xdr:col>
                    <xdr:colOff>1219200</xdr:colOff>
                    <xdr:row>25</xdr:row>
                    <xdr:rowOff>31750</xdr:rowOff>
                  </from>
                  <to>
                    <xdr:col>7</xdr:col>
                    <xdr:colOff>222250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ClearAllTeams">
                <anchor moveWithCells="1" sizeWithCells="1">
                  <from>
                    <xdr:col>13</xdr:col>
                    <xdr:colOff>495300</xdr:colOff>
                    <xdr:row>28</xdr:row>
                    <xdr:rowOff>101600</xdr:rowOff>
                  </from>
                  <to>
                    <xdr:col>14</xdr:col>
                    <xdr:colOff>381000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DA1F5-CCBE-4218-98DC-75549146C67F}">
  <sheetPr codeName="Sheet3">
    <tabColor rgb="FFFF0000"/>
  </sheetPr>
  <dimension ref="A1:C299"/>
  <sheetViews>
    <sheetView workbookViewId="0">
      <selection activeCell="B2" sqref="B2:B15"/>
    </sheetView>
  </sheetViews>
  <sheetFormatPr defaultRowHeight="15" customHeight="1" x14ac:dyDescent="0.35"/>
  <cols>
    <col min="1" max="1" width="19.90625" style="188" customWidth="1"/>
    <col min="2" max="2" width="15.90625" style="188" bestFit="1" customWidth="1"/>
    <col min="3" max="3" width="20.08984375" style="189" bestFit="1" customWidth="1"/>
  </cols>
  <sheetData>
    <row r="1" spans="1:3" ht="15" customHeight="1" x14ac:dyDescent="0.35">
      <c r="A1" s="184" t="s">
        <v>49</v>
      </c>
      <c r="B1" s="184" t="s">
        <v>0</v>
      </c>
      <c r="C1" s="185" t="s">
        <v>50</v>
      </c>
    </row>
    <row r="2" spans="1:3" ht="15" customHeight="1" x14ac:dyDescent="0.35">
      <c r="A2" s="186" t="s">
        <v>71</v>
      </c>
      <c r="B2" s="155" t="s">
        <v>0</v>
      </c>
      <c r="C2" s="187">
        <v>45088</v>
      </c>
    </row>
    <row r="3" spans="1:3" ht="15" customHeight="1" x14ac:dyDescent="0.35">
      <c r="A3" s="186" t="s">
        <v>72</v>
      </c>
      <c r="B3" s="155" t="s">
        <v>0</v>
      </c>
      <c r="C3" s="187">
        <v>44449</v>
      </c>
    </row>
    <row r="4" spans="1:3" ht="15" customHeight="1" x14ac:dyDescent="0.35">
      <c r="A4" s="186" t="s">
        <v>73</v>
      </c>
      <c r="B4" s="155" t="s">
        <v>0</v>
      </c>
      <c r="C4" s="187">
        <v>44732</v>
      </c>
    </row>
    <row r="5" spans="1:3" ht="15" customHeight="1" x14ac:dyDescent="0.35">
      <c r="A5" s="186" t="s">
        <v>74</v>
      </c>
      <c r="B5" s="155" t="s">
        <v>0</v>
      </c>
      <c r="C5" s="187">
        <v>45347</v>
      </c>
    </row>
    <row r="6" spans="1:3" ht="15" customHeight="1" x14ac:dyDescent="0.35">
      <c r="A6" s="186" t="s">
        <v>75</v>
      </c>
      <c r="B6" s="155" t="s">
        <v>0</v>
      </c>
      <c r="C6" s="187">
        <v>45438</v>
      </c>
    </row>
    <row r="7" spans="1:3" ht="15" customHeight="1" x14ac:dyDescent="0.35">
      <c r="A7" s="186" t="s">
        <v>76</v>
      </c>
      <c r="B7" s="155" t="s">
        <v>0</v>
      </c>
      <c r="C7" s="187">
        <v>45159</v>
      </c>
    </row>
    <row r="8" spans="1:3" ht="15" customHeight="1" x14ac:dyDescent="0.35">
      <c r="A8" s="186" t="s">
        <v>77</v>
      </c>
      <c r="B8" s="155" t="s">
        <v>0</v>
      </c>
      <c r="C8" s="187">
        <v>45396</v>
      </c>
    </row>
    <row r="9" spans="1:3" ht="15" customHeight="1" x14ac:dyDescent="0.35">
      <c r="A9" s="186" t="s">
        <v>78</v>
      </c>
      <c r="B9" s="155" t="s">
        <v>0</v>
      </c>
      <c r="C9" s="187"/>
    </row>
    <row r="10" spans="1:3" ht="15" customHeight="1" x14ac:dyDescent="0.35">
      <c r="A10" s="186" t="s">
        <v>79</v>
      </c>
      <c r="B10" s="155" t="s">
        <v>0</v>
      </c>
      <c r="C10" s="187"/>
    </row>
    <row r="11" spans="1:3" ht="15" customHeight="1" x14ac:dyDescent="0.35">
      <c r="A11" s="186" t="s">
        <v>80</v>
      </c>
      <c r="B11" s="155" t="s">
        <v>0</v>
      </c>
      <c r="C11" s="187">
        <v>45438</v>
      </c>
    </row>
    <row r="12" spans="1:3" ht="15" customHeight="1" x14ac:dyDescent="0.35">
      <c r="A12" s="186" t="s">
        <v>81</v>
      </c>
      <c r="B12" s="155" t="s">
        <v>0</v>
      </c>
      <c r="C12" s="187">
        <v>45466</v>
      </c>
    </row>
    <row r="13" spans="1:3" ht="15" customHeight="1" x14ac:dyDescent="0.35">
      <c r="A13" s="186" t="s">
        <v>82</v>
      </c>
      <c r="B13" s="155" t="s">
        <v>0</v>
      </c>
      <c r="C13" s="187">
        <v>45480</v>
      </c>
    </row>
    <row r="14" spans="1:3" ht="15" customHeight="1" x14ac:dyDescent="0.35">
      <c r="A14" s="186" t="s">
        <v>83</v>
      </c>
      <c r="B14" s="155" t="s">
        <v>0</v>
      </c>
      <c r="C14" s="187">
        <v>45508</v>
      </c>
    </row>
    <row r="15" spans="1:3" ht="15" customHeight="1" x14ac:dyDescent="0.35">
      <c r="A15" s="186" t="s">
        <v>84</v>
      </c>
      <c r="B15" s="155" t="s">
        <v>0</v>
      </c>
      <c r="C15" s="187">
        <v>45508</v>
      </c>
    </row>
    <row r="16" spans="1:3" ht="15" customHeight="1" x14ac:dyDescent="0.35">
      <c r="A16" s="186"/>
      <c r="B16" s="155"/>
      <c r="C16" s="187"/>
    </row>
    <row r="17" spans="1:3" ht="15" customHeight="1" x14ac:dyDescent="0.35">
      <c r="A17" s="186"/>
      <c r="B17" s="155"/>
      <c r="C17" s="187"/>
    </row>
    <row r="18" spans="1:3" ht="15" customHeight="1" x14ac:dyDescent="0.35">
      <c r="A18" s="186"/>
      <c r="B18" s="155"/>
      <c r="C18" s="187"/>
    </row>
    <row r="19" spans="1:3" ht="15" customHeight="1" x14ac:dyDescent="0.35">
      <c r="A19" s="186"/>
      <c r="B19" s="155"/>
      <c r="C19" s="187"/>
    </row>
    <row r="20" spans="1:3" ht="15" customHeight="1" x14ac:dyDescent="0.35">
      <c r="A20" s="186"/>
      <c r="B20" s="155"/>
      <c r="C20" s="187"/>
    </row>
    <row r="21" spans="1:3" ht="15" customHeight="1" x14ac:dyDescent="0.35">
      <c r="A21" s="186"/>
      <c r="B21" s="155"/>
      <c r="C21" s="187"/>
    </row>
    <row r="22" spans="1:3" ht="15" customHeight="1" x14ac:dyDescent="0.35">
      <c r="A22" s="186"/>
      <c r="B22" s="155"/>
      <c r="C22" s="187"/>
    </row>
    <row r="23" spans="1:3" ht="15" customHeight="1" x14ac:dyDescent="0.35">
      <c r="A23" s="186"/>
      <c r="B23" s="155"/>
      <c r="C23" s="187"/>
    </row>
    <row r="24" spans="1:3" ht="15" customHeight="1" x14ac:dyDescent="0.35">
      <c r="A24" s="186"/>
      <c r="B24" s="155"/>
      <c r="C24" s="187"/>
    </row>
    <row r="25" spans="1:3" ht="15" customHeight="1" x14ac:dyDescent="0.35">
      <c r="A25" s="186"/>
      <c r="B25" s="155"/>
      <c r="C25" s="187"/>
    </row>
    <row r="26" spans="1:3" ht="15" customHeight="1" x14ac:dyDescent="0.35">
      <c r="A26" s="186"/>
      <c r="B26" s="155"/>
      <c r="C26" s="187"/>
    </row>
    <row r="27" spans="1:3" ht="15" customHeight="1" x14ac:dyDescent="0.35">
      <c r="A27" s="186"/>
      <c r="B27" s="155"/>
      <c r="C27" s="187"/>
    </row>
    <row r="28" spans="1:3" ht="15" customHeight="1" x14ac:dyDescent="0.35">
      <c r="A28" s="186"/>
      <c r="B28" s="155"/>
      <c r="C28" s="187"/>
    </row>
    <row r="29" spans="1:3" ht="15" customHeight="1" x14ac:dyDescent="0.35">
      <c r="A29" s="186"/>
      <c r="B29" s="155"/>
      <c r="C29" s="187"/>
    </row>
    <row r="30" spans="1:3" ht="15" customHeight="1" x14ac:dyDescent="0.35">
      <c r="A30" s="186"/>
      <c r="B30" s="155"/>
      <c r="C30" s="187"/>
    </row>
    <row r="31" spans="1:3" ht="15" customHeight="1" x14ac:dyDescent="0.35">
      <c r="A31" s="186"/>
      <c r="B31" s="155"/>
      <c r="C31" s="187"/>
    </row>
    <row r="32" spans="1:3" ht="15" customHeight="1" x14ac:dyDescent="0.35">
      <c r="A32" s="186"/>
      <c r="B32" s="155"/>
      <c r="C32" s="187"/>
    </row>
    <row r="33" spans="1:3" ht="15" customHeight="1" x14ac:dyDescent="0.35">
      <c r="A33" s="186"/>
      <c r="B33" s="155"/>
      <c r="C33" s="187"/>
    </row>
    <row r="34" spans="1:3" ht="15" customHeight="1" x14ac:dyDescent="0.35">
      <c r="A34" s="186"/>
      <c r="B34" s="155"/>
      <c r="C34" s="187"/>
    </row>
    <row r="35" spans="1:3" ht="15" customHeight="1" x14ac:dyDescent="0.35">
      <c r="A35" s="186"/>
      <c r="B35" s="155"/>
      <c r="C35" s="187"/>
    </row>
    <row r="36" spans="1:3" ht="15" customHeight="1" x14ac:dyDescent="0.35">
      <c r="A36" s="186"/>
      <c r="B36" s="155"/>
      <c r="C36" s="187"/>
    </row>
    <row r="37" spans="1:3" ht="15" customHeight="1" x14ac:dyDescent="0.35">
      <c r="A37" s="186"/>
      <c r="B37" s="155"/>
      <c r="C37" s="187"/>
    </row>
    <row r="38" spans="1:3" ht="15" customHeight="1" x14ac:dyDescent="0.35">
      <c r="A38" s="186"/>
      <c r="B38" s="155"/>
      <c r="C38" s="187"/>
    </row>
    <row r="39" spans="1:3" ht="15" customHeight="1" x14ac:dyDescent="0.35">
      <c r="A39" s="186"/>
      <c r="B39" s="155"/>
      <c r="C39" s="187"/>
    </row>
    <row r="40" spans="1:3" ht="15" customHeight="1" x14ac:dyDescent="0.35">
      <c r="A40" s="186"/>
      <c r="B40" s="155"/>
      <c r="C40" s="187"/>
    </row>
    <row r="41" spans="1:3" ht="15" customHeight="1" x14ac:dyDescent="0.35">
      <c r="A41" s="186"/>
      <c r="B41" s="155"/>
      <c r="C41" s="187"/>
    </row>
    <row r="42" spans="1:3" ht="15" customHeight="1" x14ac:dyDescent="0.35">
      <c r="A42" s="186"/>
      <c r="B42" s="155"/>
      <c r="C42" s="187"/>
    </row>
    <row r="43" spans="1:3" ht="15" customHeight="1" x14ac:dyDescent="0.35">
      <c r="A43" s="186"/>
      <c r="B43" s="155"/>
      <c r="C43" s="187"/>
    </row>
    <row r="44" spans="1:3" ht="15" customHeight="1" x14ac:dyDescent="0.35">
      <c r="A44" s="186"/>
      <c r="B44" s="155"/>
      <c r="C44" s="187"/>
    </row>
    <row r="45" spans="1:3" ht="15" customHeight="1" x14ac:dyDescent="0.35">
      <c r="A45" s="186"/>
      <c r="B45" s="155"/>
      <c r="C45" s="187"/>
    </row>
    <row r="46" spans="1:3" ht="15" customHeight="1" x14ac:dyDescent="0.35">
      <c r="A46" s="186"/>
      <c r="B46" s="155"/>
      <c r="C46" s="187"/>
    </row>
    <row r="47" spans="1:3" ht="15" customHeight="1" x14ac:dyDescent="0.35">
      <c r="A47" s="186"/>
      <c r="B47" s="155"/>
      <c r="C47" s="187"/>
    </row>
    <row r="48" spans="1:3" ht="15" customHeight="1" x14ac:dyDescent="0.35">
      <c r="A48" s="186"/>
      <c r="B48" s="155"/>
      <c r="C48" s="187"/>
    </row>
    <row r="49" spans="1:3" ht="15" customHeight="1" x14ac:dyDescent="0.35">
      <c r="A49" s="186"/>
      <c r="B49" s="155"/>
      <c r="C49" s="187"/>
    </row>
    <row r="50" spans="1:3" ht="15" customHeight="1" x14ac:dyDescent="0.35">
      <c r="A50" s="186"/>
      <c r="B50" s="155"/>
      <c r="C50" s="187"/>
    </row>
    <row r="51" spans="1:3" ht="15" customHeight="1" x14ac:dyDescent="0.35">
      <c r="A51" s="186"/>
      <c r="B51" s="155"/>
      <c r="C51" s="187"/>
    </row>
    <row r="52" spans="1:3" ht="15" customHeight="1" x14ac:dyDescent="0.35">
      <c r="A52" s="186"/>
      <c r="B52" s="155"/>
      <c r="C52" s="187"/>
    </row>
    <row r="53" spans="1:3" ht="15" customHeight="1" x14ac:dyDescent="0.35">
      <c r="A53" s="186"/>
      <c r="B53" s="155"/>
      <c r="C53" s="187"/>
    </row>
    <row r="54" spans="1:3" ht="15" customHeight="1" x14ac:dyDescent="0.35">
      <c r="A54" s="186"/>
      <c r="B54" s="155"/>
      <c r="C54" s="187"/>
    </row>
    <row r="55" spans="1:3" ht="15" customHeight="1" x14ac:dyDescent="0.35">
      <c r="A55" s="186"/>
      <c r="B55" s="155"/>
      <c r="C55" s="187"/>
    </row>
    <row r="56" spans="1:3" ht="15" customHeight="1" x14ac:dyDescent="0.35">
      <c r="A56" s="186"/>
      <c r="B56" s="155"/>
      <c r="C56" s="187"/>
    </row>
    <row r="57" spans="1:3" ht="15" customHeight="1" x14ac:dyDescent="0.35">
      <c r="A57" s="186"/>
      <c r="B57" s="155"/>
      <c r="C57" s="187"/>
    </row>
    <row r="58" spans="1:3" ht="15" customHeight="1" x14ac:dyDescent="0.35">
      <c r="A58" s="186"/>
      <c r="B58" s="155"/>
      <c r="C58" s="187"/>
    </row>
    <row r="59" spans="1:3" ht="15" customHeight="1" x14ac:dyDescent="0.35">
      <c r="A59" s="186"/>
      <c r="B59" s="155"/>
      <c r="C59" s="187"/>
    </row>
    <row r="60" spans="1:3" ht="15" customHeight="1" x14ac:dyDescent="0.35">
      <c r="A60" s="186"/>
      <c r="B60" s="155"/>
      <c r="C60" s="187"/>
    </row>
    <row r="61" spans="1:3" ht="15" customHeight="1" x14ac:dyDescent="0.35">
      <c r="A61" s="186"/>
      <c r="B61" s="155"/>
      <c r="C61" s="187"/>
    </row>
    <row r="62" spans="1:3" ht="15" customHeight="1" x14ac:dyDescent="0.35">
      <c r="A62" s="186"/>
      <c r="B62" s="155"/>
      <c r="C62" s="187"/>
    </row>
    <row r="63" spans="1:3" ht="15" customHeight="1" x14ac:dyDescent="0.35">
      <c r="A63" s="186"/>
      <c r="B63" s="155"/>
      <c r="C63" s="187"/>
    </row>
    <row r="64" spans="1:3" ht="15" customHeight="1" x14ac:dyDescent="0.35">
      <c r="A64" s="186"/>
      <c r="B64" s="155"/>
      <c r="C64" s="187"/>
    </row>
    <row r="65" spans="1:3" ht="15" customHeight="1" x14ac:dyDescent="0.35">
      <c r="A65" s="186"/>
      <c r="B65" s="155"/>
      <c r="C65" s="187"/>
    </row>
    <row r="66" spans="1:3" ht="15" customHeight="1" x14ac:dyDescent="0.35">
      <c r="A66" s="186"/>
      <c r="B66" s="155"/>
      <c r="C66" s="187"/>
    </row>
    <row r="67" spans="1:3" ht="15" customHeight="1" x14ac:dyDescent="0.35">
      <c r="A67" s="186"/>
      <c r="B67" s="155"/>
      <c r="C67" s="187"/>
    </row>
    <row r="68" spans="1:3" ht="15" customHeight="1" x14ac:dyDescent="0.35">
      <c r="A68" s="186"/>
      <c r="B68" s="155"/>
      <c r="C68" s="187"/>
    </row>
    <row r="69" spans="1:3" ht="15" customHeight="1" x14ac:dyDescent="0.35">
      <c r="A69" s="186"/>
      <c r="B69" s="155"/>
      <c r="C69" s="187"/>
    </row>
    <row r="70" spans="1:3" ht="15" customHeight="1" x14ac:dyDescent="0.35">
      <c r="A70" s="186"/>
      <c r="B70" s="155"/>
      <c r="C70" s="187"/>
    </row>
    <row r="71" spans="1:3" ht="15" customHeight="1" x14ac:dyDescent="0.35">
      <c r="A71" s="186"/>
      <c r="B71" s="155"/>
      <c r="C71" s="187"/>
    </row>
    <row r="72" spans="1:3" ht="15" customHeight="1" x14ac:dyDescent="0.35">
      <c r="A72" s="186"/>
      <c r="B72" s="155"/>
      <c r="C72" s="187"/>
    </row>
    <row r="73" spans="1:3" ht="15" customHeight="1" x14ac:dyDescent="0.35">
      <c r="A73" s="186"/>
      <c r="B73" s="155"/>
      <c r="C73" s="187"/>
    </row>
    <row r="74" spans="1:3" ht="15" customHeight="1" x14ac:dyDescent="0.35">
      <c r="A74" s="186"/>
      <c r="B74" s="155"/>
      <c r="C74" s="187"/>
    </row>
    <row r="75" spans="1:3" ht="15" customHeight="1" x14ac:dyDescent="0.35">
      <c r="A75" s="186"/>
      <c r="B75" s="155"/>
      <c r="C75" s="187"/>
    </row>
    <row r="76" spans="1:3" ht="15" customHeight="1" x14ac:dyDescent="0.35">
      <c r="A76" s="186"/>
      <c r="B76" s="155"/>
      <c r="C76" s="187"/>
    </row>
    <row r="77" spans="1:3" ht="15" customHeight="1" x14ac:dyDescent="0.35">
      <c r="A77" s="186"/>
      <c r="B77" s="155"/>
      <c r="C77" s="187"/>
    </row>
    <row r="78" spans="1:3" ht="15" customHeight="1" x14ac:dyDescent="0.35">
      <c r="A78" s="186"/>
      <c r="B78" s="155"/>
      <c r="C78" s="187"/>
    </row>
    <row r="79" spans="1:3" ht="15" customHeight="1" x14ac:dyDescent="0.35">
      <c r="A79" s="186"/>
      <c r="B79" s="155"/>
      <c r="C79" s="187"/>
    </row>
    <row r="80" spans="1:3" ht="15" customHeight="1" x14ac:dyDescent="0.35">
      <c r="A80" s="186"/>
      <c r="B80" s="155"/>
      <c r="C80" s="187"/>
    </row>
    <row r="81" spans="1:3" ht="15" customHeight="1" x14ac:dyDescent="0.35">
      <c r="A81" s="186"/>
      <c r="B81" s="155"/>
      <c r="C81" s="187"/>
    </row>
    <row r="82" spans="1:3" ht="15" customHeight="1" x14ac:dyDescent="0.35">
      <c r="A82" s="186"/>
      <c r="B82" s="155"/>
      <c r="C82" s="187"/>
    </row>
    <row r="83" spans="1:3" ht="15" customHeight="1" x14ac:dyDescent="0.35">
      <c r="A83" s="186"/>
      <c r="B83" s="155"/>
      <c r="C83" s="187"/>
    </row>
    <row r="84" spans="1:3" ht="15" customHeight="1" x14ac:dyDescent="0.35">
      <c r="A84" s="186"/>
      <c r="B84" s="155"/>
      <c r="C84" s="187"/>
    </row>
    <row r="85" spans="1:3" ht="15" customHeight="1" x14ac:dyDescent="0.35">
      <c r="A85" s="186"/>
      <c r="B85" s="155"/>
      <c r="C85" s="187"/>
    </row>
    <row r="86" spans="1:3" ht="15" customHeight="1" x14ac:dyDescent="0.35">
      <c r="A86" s="186"/>
      <c r="B86" s="155"/>
      <c r="C86" s="187"/>
    </row>
    <row r="87" spans="1:3" ht="15" customHeight="1" x14ac:dyDescent="0.35">
      <c r="A87" s="186"/>
      <c r="B87" s="155"/>
      <c r="C87" s="187"/>
    </row>
    <row r="88" spans="1:3" ht="15" customHeight="1" x14ac:dyDescent="0.35">
      <c r="A88" s="186"/>
      <c r="B88" s="155"/>
      <c r="C88" s="187"/>
    </row>
    <row r="89" spans="1:3" ht="15" customHeight="1" x14ac:dyDescent="0.35">
      <c r="A89" s="186"/>
      <c r="B89" s="155"/>
      <c r="C89" s="187"/>
    </row>
    <row r="90" spans="1:3" ht="15" customHeight="1" x14ac:dyDescent="0.35">
      <c r="A90" s="186"/>
      <c r="B90" s="155"/>
      <c r="C90" s="187"/>
    </row>
    <row r="91" spans="1:3" ht="15" customHeight="1" x14ac:dyDescent="0.35">
      <c r="A91" s="186"/>
      <c r="B91" s="155"/>
      <c r="C91" s="187"/>
    </row>
    <row r="92" spans="1:3" ht="15" customHeight="1" x14ac:dyDescent="0.35">
      <c r="A92" s="186"/>
      <c r="B92" s="155"/>
      <c r="C92" s="187"/>
    </row>
    <row r="93" spans="1:3" ht="15" customHeight="1" x14ac:dyDescent="0.35">
      <c r="A93" s="186"/>
      <c r="B93" s="155"/>
      <c r="C93" s="187"/>
    </row>
    <row r="94" spans="1:3" ht="15" customHeight="1" x14ac:dyDescent="0.35">
      <c r="A94" s="186"/>
      <c r="B94" s="155"/>
      <c r="C94" s="187"/>
    </row>
    <row r="95" spans="1:3" ht="15" customHeight="1" x14ac:dyDescent="0.35">
      <c r="A95" s="186"/>
      <c r="B95" s="155"/>
      <c r="C95" s="187"/>
    </row>
    <row r="96" spans="1:3" ht="15" customHeight="1" x14ac:dyDescent="0.35">
      <c r="A96" s="186"/>
      <c r="B96" s="155"/>
      <c r="C96" s="187"/>
    </row>
    <row r="97" spans="1:3" ht="15" customHeight="1" x14ac:dyDescent="0.35">
      <c r="A97" s="186"/>
      <c r="B97" s="155"/>
      <c r="C97" s="187"/>
    </row>
    <row r="98" spans="1:3" ht="15" customHeight="1" x14ac:dyDescent="0.35">
      <c r="A98" s="186"/>
      <c r="B98" s="155"/>
      <c r="C98" s="187"/>
    </row>
    <row r="99" spans="1:3" ht="15" customHeight="1" x14ac:dyDescent="0.35">
      <c r="A99" s="186"/>
      <c r="B99" s="155"/>
      <c r="C99" s="187"/>
    </row>
    <row r="100" spans="1:3" ht="15" customHeight="1" x14ac:dyDescent="0.35">
      <c r="A100" s="186"/>
      <c r="B100" s="155"/>
      <c r="C100" s="187"/>
    </row>
    <row r="101" spans="1:3" ht="15" customHeight="1" x14ac:dyDescent="0.35">
      <c r="A101" s="186"/>
      <c r="B101" s="155"/>
      <c r="C101" s="187"/>
    </row>
    <row r="102" spans="1:3" ht="15" customHeight="1" x14ac:dyDescent="0.35">
      <c r="A102" s="186"/>
      <c r="B102" s="155"/>
      <c r="C102" s="187"/>
    </row>
    <row r="103" spans="1:3" ht="15" customHeight="1" x14ac:dyDescent="0.35">
      <c r="A103" s="186"/>
      <c r="B103" s="155"/>
      <c r="C103" s="187"/>
    </row>
    <row r="104" spans="1:3" ht="15" customHeight="1" x14ac:dyDescent="0.35">
      <c r="A104" s="186"/>
      <c r="B104" s="155"/>
      <c r="C104" s="187"/>
    </row>
    <row r="105" spans="1:3" ht="15" customHeight="1" x14ac:dyDescent="0.35">
      <c r="A105" s="186"/>
      <c r="B105" s="155"/>
      <c r="C105" s="187"/>
    </row>
    <row r="106" spans="1:3" ht="15" customHeight="1" x14ac:dyDescent="0.35">
      <c r="A106" s="186"/>
      <c r="B106" s="155"/>
      <c r="C106" s="187"/>
    </row>
    <row r="107" spans="1:3" ht="15" customHeight="1" x14ac:dyDescent="0.35">
      <c r="A107" s="186"/>
      <c r="B107" s="155"/>
      <c r="C107" s="187"/>
    </row>
    <row r="108" spans="1:3" ht="15" customHeight="1" x14ac:dyDescent="0.35">
      <c r="A108" s="186"/>
      <c r="B108" s="155"/>
      <c r="C108" s="187"/>
    </row>
    <row r="109" spans="1:3" ht="15" customHeight="1" x14ac:dyDescent="0.35">
      <c r="A109" s="186"/>
      <c r="B109" s="155"/>
      <c r="C109" s="187"/>
    </row>
    <row r="110" spans="1:3" ht="15" customHeight="1" x14ac:dyDescent="0.35">
      <c r="A110" s="186"/>
      <c r="B110" s="155"/>
      <c r="C110" s="187"/>
    </row>
    <row r="111" spans="1:3" ht="15" customHeight="1" x14ac:dyDescent="0.35">
      <c r="A111" s="186"/>
      <c r="B111" s="155"/>
      <c r="C111" s="187"/>
    </row>
    <row r="112" spans="1:3" ht="15" customHeight="1" x14ac:dyDescent="0.35">
      <c r="A112" s="186"/>
      <c r="B112" s="155"/>
      <c r="C112" s="187"/>
    </row>
    <row r="113" spans="1:3" ht="15" customHeight="1" x14ac:dyDescent="0.35">
      <c r="A113" s="186"/>
      <c r="B113" s="155"/>
      <c r="C113" s="187"/>
    </row>
    <row r="114" spans="1:3" ht="15" customHeight="1" x14ac:dyDescent="0.35">
      <c r="A114" s="186"/>
      <c r="B114" s="155"/>
      <c r="C114" s="187"/>
    </row>
    <row r="115" spans="1:3" ht="15" customHeight="1" x14ac:dyDescent="0.35">
      <c r="A115" s="186"/>
      <c r="B115" s="155"/>
      <c r="C115" s="187"/>
    </row>
    <row r="116" spans="1:3" ht="15" customHeight="1" x14ac:dyDescent="0.35">
      <c r="A116" s="186"/>
      <c r="B116" s="155"/>
      <c r="C116" s="187"/>
    </row>
    <row r="117" spans="1:3" ht="15" customHeight="1" x14ac:dyDescent="0.35">
      <c r="A117" s="186"/>
      <c r="B117" s="155"/>
      <c r="C117" s="187"/>
    </row>
    <row r="118" spans="1:3" ht="15" customHeight="1" x14ac:dyDescent="0.35">
      <c r="A118" s="186"/>
      <c r="B118" s="155"/>
      <c r="C118" s="187"/>
    </row>
    <row r="119" spans="1:3" ht="15" customHeight="1" x14ac:dyDescent="0.35">
      <c r="A119" s="186"/>
      <c r="B119" s="155"/>
      <c r="C119" s="187"/>
    </row>
    <row r="120" spans="1:3" ht="15" customHeight="1" x14ac:dyDescent="0.35">
      <c r="A120" s="186"/>
      <c r="B120" s="155"/>
      <c r="C120" s="187"/>
    </row>
    <row r="121" spans="1:3" ht="15" customHeight="1" x14ac:dyDescent="0.35">
      <c r="A121" s="186"/>
      <c r="B121" s="155"/>
      <c r="C121" s="187"/>
    </row>
    <row r="122" spans="1:3" ht="15" customHeight="1" x14ac:dyDescent="0.35">
      <c r="A122" s="186"/>
      <c r="B122" s="155"/>
      <c r="C122" s="187"/>
    </row>
    <row r="123" spans="1:3" ht="15" customHeight="1" x14ac:dyDescent="0.35">
      <c r="A123" s="186"/>
      <c r="B123" s="155"/>
      <c r="C123" s="187"/>
    </row>
    <row r="124" spans="1:3" ht="15" customHeight="1" x14ac:dyDescent="0.35">
      <c r="A124" s="186"/>
      <c r="B124" s="155"/>
      <c r="C124" s="187"/>
    </row>
    <row r="125" spans="1:3" ht="15" customHeight="1" x14ac:dyDescent="0.35">
      <c r="A125" s="186"/>
      <c r="B125" s="155"/>
      <c r="C125" s="187"/>
    </row>
    <row r="126" spans="1:3" ht="15" customHeight="1" x14ac:dyDescent="0.35">
      <c r="A126" s="186"/>
      <c r="B126" s="155"/>
      <c r="C126" s="187"/>
    </row>
    <row r="127" spans="1:3" ht="15" customHeight="1" x14ac:dyDescent="0.35">
      <c r="A127" s="186"/>
      <c r="B127" s="155"/>
      <c r="C127" s="187"/>
    </row>
    <row r="128" spans="1:3" ht="15" customHeight="1" x14ac:dyDescent="0.35">
      <c r="A128" s="186"/>
      <c r="B128" s="155"/>
      <c r="C128" s="187"/>
    </row>
    <row r="129" spans="1:3" ht="15" customHeight="1" x14ac:dyDescent="0.35">
      <c r="A129" s="186"/>
      <c r="B129" s="155"/>
      <c r="C129" s="187"/>
    </row>
    <row r="130" spans="1:3" ht="15" customHeight="1" x14ac:dyDescent="0.35">
      <c r="A130" s="186"/>
      <c r="B130" s="155"/>
      <c r="C130" s="187"/>
    </row>
    <row r="131" spans="1:3" ht="15" customHeight="1" x14ac:dyDescent="0.35">
      <c r="A131" s="186"/>
      <c r="B131" s="155"/>
      <c r="C131" s="187"/>
    </row>
    <row r="132" spans="1:3" ht="15" customHeight="1" x14ac:dyDescent="0.35">
      <c r="A132" s="186"/>
      <c r="B132" s="155"/>
      <c r="C132" s="187"/>
    </row>
    <row r="133" spans="1:3" ht="15" customHeight="1" x14ac:dyDescent="0.35">
      <c r="A133" s="186"/>
      <c r="B133" s="155"/>
      <c r="C133" s="187"/>
    </row>
    <row r="134" spans="1:3" ht="15" customHeight="1" x14ac:dyDescent="0.35">
      <c r="A134" s="186"/>
      <c r="B134" s="155"/>
      <c r="C134" s="187"/>
    </row>
    <row r="135" spans="1:3" ht="15" customHeight="1" x14ac:dyDescent="0.35">
      <c r="A135" s="186"/>
      <c r="B135" s="155"/>
      <c r="C135" s="187"/>
    </row>
    <row r="136" spans="1:3" ht="15" customHeight="1" x14ac:dyDescent="0.35">
      <c r="A136" s="186"/>
      <c r="B136" s="155"/>
      <c r="C136" s="187"/>
    </row>
    <row r="137" spans="1:3" ht="15" customHeight="1" x14ac:dyDescent="0.35">
      <c r="A137" s="186"/>
      <c r="B137" s="155"/>
      <c r="C137" s="187"/>
    </row>
    <row r="138" spans="1:3" ht="15" customHeight="1" x14ac:dyDescent="0.35">
      <c r="A138" s="186"/>
      <c r="B138" s="155"/>
      <c r="C138" s="187"/>
    </row>
    <row r="139" spans="1:3" ht="15" customHeight="1" x14ac:dyDescent="0.35">
      <c r="A139" s="186"/>
      <c r="B139" s="155"/>
      <c r="C139" s="187"/>
    </row>
    <row r="140" spans="1:3" ht="15" customHeight="1" x14ac:dyDescent="0.35">
      <c r="A140" s="186"/>
      <c r="B140" s="155"/>
      <c r="C140" s="187"/>
    </row>
    <row r="141" spans="1:3" ht="15" customHeight="1" x14ac:dyDescent="0.35">
      <c r="A141" s="186"/>
      <c r="B141" s="155"/>
      <c r="C141" s="187"/>
    </row>
    <row r="142" spans="1:3" ht="15" customHeight="1" x14ac:dyDescent="0.35">
      <c r="A142" s="186"/>
      <c r="B142" s="155"/>
      <c r="C142" s="187"/>
    </row>
    <row r="143" spans="1:3" ht="15" customHeight="1" x14ac:dyDescent="0.35">
      <c r="A143" s="186"/>
      <c r="B143" s="155"/>
      <c r="C143" s="187"/>
    </row>
    <row r="144" spans="1:3" ht="15" customHeight="1" x14ac:dyDescent="0.35">
      <c r="A144" s="186"/>
      <c r="B144" s="155"/>
      <c r="C144" s="187"/>
    </row>
    <row r="145" spans="1:3" ht="15" customHeight="1" x14ac:dyDescent="0.35">
      <c r="A145" s="186"/>
      <c r="B145" s="155"/>
      <c r="C145" s="187"/>
    </row>
    <row r="146" spans="1:3" ht="15" customHeight="1" x14ac:dyDescent="0.35">
      <c r="A146" s="186"/>
      <c r="B146" s="155"/>
      <c r="C146" s="187"/>
    </row>
    <row r="147" spans="1:3" ht="15" customHeight="1" x14ac:dyDescent="0.35">
      <c r="A147" s="186"/>
      <c r="B147" s="155"/>
      <c r="C147" s="187"/>
    </row>
    <row r="148" spans="1:3" ht="15" customHeight="1" x14ac:dyDescent="0.35">
      <c r="A148" s="186"/>
      <c r="B148" s="155"/>
      <c r="C148" s="187"/>
    </row>
    <row r="149" spans="1:3" ht="15" customHeight="1" x14ac:dyDescent="0.35">
      <c r="A149" s="186"/>
      <c r="B149" s="155"/>
      <c r="C149" s="187"/>
    </row>
    <row r="150" spans="1:3" ht="15" customHeight="1" x14ac:dyDescent="0.35">
      <c r="A150" s="186"/>
      <c r="B150" s="155"/>
      <c r="C150" s="187"/>
    </row>
    <row r="151" spans="1:3" ht="15" customHeight="1" x14ac:dyDescent="0.35">
      <c r="A151" s="186"/>
      <c r="B151" s="155"/>
      <c r="C151" s="187"/>
    </row>
    <row r="152" spans="1:3" ht="15" customHeight="1" x14ac:dyDescent="0.35">
      <c r="A152" s="186"/>
      <c r="B152" s="155"/>
      <c r="C152" s="187"/>
    </row>
    <row r="153" spans="1:3" ht="15" customHeight="1" x14ac:dyDescent="0.35">
      <c r="A153" s="186"/>
      <c r="B153" s="155"/>
      <c r="C153" s="187"/>
    </row>
    <row r="154" spans="1:3" ht="15" customHeight="1" x14ac:dyDescent="0.35">
      <c r="A154" s="186"/>
      <c r="B154" s="155"/>
      <c r="C154" s="187"/>
    </row>
    <row r="155" spans="1:3" ht="15" customHeight="1" x14ac:dyDescent="0.35">
      <c r="A155" s="186"/>
      <c r="B155" s="155"/>
      <c r="C155" s="187"/>
    </row>
    <row r="156" spans="1:3" ht="15" customHeight="1" x14ac:dyDescent="0.35">
      <c r="A156" s="186"/>
      <c r="B156" s="155"/>
      <c r="C156" s="187"/>
    </row>
    <row r="157" spans="1:3" ht="15" customHeight="1" x14ac:dyDescent="0.35">
      <c r="A157" s="186"/>
      <c r="B157" s="155"/>
      <c r="C157" s="187"/>
    </row>
    <row r="158" spans="1:3" ht="15" customHeight="1" x14ac:dyDescent="0.35">
      <c r="A158" s="186"/>
      <c r="B158" s="155"/>
      <c r="C158" s="187"/>
    </row>
    <row r="159" spans="1:3" ht="15" customHeight="1" x14ac:dyDescent="0.35">
      <c r="A159" s="186"/>
      <c r="B159" s="155"/>
      <c r="C159" s="187"/>
    </row>
    <row r="160" spans="1:3" ht="15" customHeight="1" x14ac:dyDescent="0.35">
      <c r="A160" s="186"/>
      <c r="B160" s="155"/>
      <c r="C160" s="187"/>
    </row>
    <row r="161" spans="1:3" ht="15" customHeight="1" x14ac:dyDescent="0.35">
      <c r="A161" s="186"/>
      <c r="B161" s="155"/>
      <c r="C161" s="187"/>
    </row>
    <row r="162" spans="1:3" ht="15" customHeight="1" x14ac:dyDescent="0.35">
      <c r="A162" s="186"/>
      <c r="B162" s="155"/>
      <c r="C162" s="187"/>
    </row>
    <row r="163" spans="1:3" ht="15" customHeight="1" x14ac:dyDescent="0.35">
      <c r="A163" s="186"/>
      <c r="B163" s="155"/>
      <c r="C163" s="187"/>
    </row>
    <row r="164" spans="1:3" ht="15" customHeight="1" x14ac:dyDescent="0.35">
      <c r="A164" s="186"/>
      <c r="B164" s="155"/>
      <c r="C164" s="187"/>
    </row>
    <row r="165" spans="1:3" ht="15" customHeight="1" x14ac:dyDescent="0.35">
      <c r="A165" s="186"/>
      <c r="B165" s="155"/>
      <c r="C165" s="187"/>
    </row>
    <row r="166" spans="1:3" ht="15" customHeight="1" x14ac:dyDescent="0.35">
      <c r="A166" s="186"/>
      <c r="B166" s="155"/>
      <c r="C166" s="187"/>
    </row>
    <row r="167" spans="1:3" ht="15" customHeight="1" x14ac:dyDescent="0.35">
      <c r="A167" s="186"/>
      <c r="B167" s="155"/>
      <c r="C167" s="187"/>
    </row>
    <row r="168" spans="1:3" ht="15" customHeight="1" x14ac:dyDescent="0.35">
      <c r="A168" s="186"/>
      <c r="B168" s="155"/>
      <c r="C168" s="187"/>
    </row>
    <row r="169" spans="1:3" ht="15" customHeight="1" x14ac:dyDescent="0.35">
      <c r="A169" s="186"/>
      <c r="B169" s="155"/>
      <c r="C169" s="187"/>
    </row>
    <row r="170" spans="1:3" ht="15" customHeight="1" x14ac:dyDescent="0.35">
      <c r="A170" s="186"/>
      <c r="B170" s="155"/>
      <c r="C170" s="187"/>
    </row>
    <row r="171" spans="1:3" ht="15" customHeight="1" x14ac:dyDescent="0.35">
      <c r="A171" s="186"/>
      <c r="B171" s="155"/>
      <c r="C171" s="187"/>
    </row>
    <row r="172" spans="1:3" ht="15" customHeight="1" x14ac:dyDescent="0.35">
      <c r="A172" s="186"/>
      <c r="B172" s="155"/>
      <c r="C172" s="187"/>
    </row>
    <row r="173" spans="1:3" ht="15" customHeight="1" x14ac:dyDescent="0.35">
      <c r="A173" s="186"/>
      <c r="B173" s="155"/>
      <c r="C173" s="187"/>
    </row>
    <row r="174" spans="1:3" ht="15" customHeight="1" x14ac:dyDescent="0.35">
      <c r="A174" s="186"/>
      <c r="B174" s="155"/>
      <c r="C174" s="187"/>
    </row>
    <row r="175" spans="1:3" ht="15" customHeight="1" x14ac:dyDescent="0.35">
      <c r="A175" s="186"/>
      <c r="B175" s="155"/>
      <c r="C175" s="187"/>
    </row>
    <row r="176" spans="1:3" ht="15" customHeight="1" x14ac:dyDescent="0.35">
      <c r="A176" s="186"/>
      <c r="B176" s="155"/>
      <c r="C176" s="187"/>
    </row>
    <row r="177" spans="1:3" ht="15" customHeight="1" x14ac:dyDescent="0.35">
      <c r="A177" s="186"/>
      <c r="B177" s="155"/>
      <c r="C177" s="187"/>
    </row>
    <row r="178" spans="1:3" ht="15" customHeight="1" x14ac:dyDescent="0.35">
      <c r="A178" s="186"/>
      <c r="B178" s="155"/>
      <c r="C178" s="187"/>
    </row>
    <row r="179" spans="1:3" ht="15" customHeight="1" x14ac:dyDescent="0.35">
      <c r="A179" s="186"/>
      <c r="B179" s="155"/>
      <c r="C179" s="187"/>
    </row>
    <row r="180" spans="1:3" ht="15" customHeight="1" x14ac:dyDescent="0.35">
      <c r="A180" s="186"/>
      <c r="B180" s="155"/>
      <c r="C180" s="187"/>
    </row>
    <row r="181" spans="1:3" ht="15" customHeight="1" x14ac:dyDescent="0.35">
      <c r="A181" s="186"/>
      <c r="B181" s="155"/>
      <c r="C181" s="187"/>
    </row>
    <row r="182" spans="1:3" ht="15" customHeight="1" x14ac:dyDescent="0.35">
      <c r="A182" s="186"/>
      <c r="B182" s="155"/>
      <c r="C182" s="187"/>
    </row>
    <row r="183" spans="1:3" ht="15" customHeight="1" x14ac:dyDescent="0.35">
      <c r="A183" s="186"/>
      <c r="B183" s="155"/>
      <c r="C183" s="187"/>
    </row>
    <row r="184" spans="1:3" ht="15" customHeight="1" x14ac:dyDescent="0.35">
      <c r="A184" s="186"/>
      <c r="B184" s="155"/>
      <c r="C184" s="187"/>
    </row>
    <row r="185" spans="1:3" ht="15" customHeight="1" x14ac:dyDescent="0.35">
      <c r="A185" s="186"/>
      <c r="B185" s="155"/>
      <c r="C185" s="187"/>
    </row>
    <row r="186" spans="1:3" ht="15" customHeight="1" x14ac:dyDescent="0.35">
      <c r="A186" s="186"/>
      <c r="B186" s="155"/>
      <c r="C186" s="187"/>
    </row>
    <row r="187" spans="1:3" ht="15" customHeight="1" x14ac:dyDescent="0.35">
      <c r="A187" s="186"/>
      <c r="B187" s="155"/>
      <c r="C187" s="187"/>
    </row>
    <row r="188" spans="1:3" ht="15" customHeight="1" x14ac:dyDescent="0.35">
      <c r="A188" s="186"/>
      <c r="B188" s="155"/>
      <c r="C188" s="187"/>
    </row>
    <row r="189" spans="1:3" ht="15" customHeight="1" x14ac:dyDescent="0.35">
      <c r="A189" s="186"/>
      <c r="B189" s="155"/>
      <c r="C189" s="187"/>
    </row>
    <row r="190" spans="1:3" ht="15" customHeight="1" x14ac:dyDescent="0.35">
      <c r="A190" s="186"/>
      <c r="B190" s="155"/>
      <c r="C190" s="187"/>
    </row>
    <row r="191" spans="1:3" ht="15" customHeight="1" x14ac:dyDescent="0.35">
      <c r="A191" s="186"/>
      <c r="B191" s="155"/>
      <c r="C191" s="187"/>
    </row>
    <row r="192" spans="1:3" ht="15" customHeight="1" x14ac:dyDescent="0.35">
      <c r="A192" s="186"/>
      <c r="B192" s="155"/>
      <c r="C192" s="187"/>
    </row>
    <row r="193" spans="1:3" ht="15" customHeight="1" x14ac:dyDescent="0.35">
      <c r="A193" s="186"/>
      <c r="B193" s="155"/>
      <c r="C193" s="187"/>
    </row>
    <row r="194" spans="1:3" ht="15" customHeight="1" x14ac:dyDescent="0.35">
      <c r="A194" s="186"/>
      <c r="B194" s="155"/>
      <c r="C194" s="187"/>
    </row>
    <row r="195" spans="1:3" ht="15" customHeight="1" x14ac:dyDescent="0.35">
      <c r="A195" s="186"/>
      <c r="B195" s="155"/>
      <c r="C195" s="187"/>
    </row>
    <row r="196" spans="1:3" ht="15" customHeight="1" x14ac:dyDescent="0.35">
      <c r="A196" s="186"/>
      <c r="B196" s="155"/>
      <c r="C196" s="187"/>
    </row>
    <row r="197" spans="1:3" ht="15" customHeight="1" x14ac:dyDescent="0.35">
      <c r="A197" s="186"/>
      <c r="B197" s="155"/>
      <c r="C197" s="187"/>
    </row>
    <row r="198" spans="1:3" ht="15" customHeight="1" x14ac:dyDescent="0.35">
      <c r="A198" s="186"/>
      <c r="B198" s="155"/>
      <c r="C198" s="187"/>
    </row>
    <row r="199" spans="1:3" ht="15" customHeight="1" x14ac:dyDescent="0.35">
      <c r="A199" s="186"/>
      <c r="B199" s="155"/>
      <c r="C199" s="187"/>
    </row>
    <row r="200" spans="1:3" ht="15" customHeight="1" x14ac:dyDescent="0.35">
      <c r="A200" s="186"/>
      <c r="B200" s="155"/>
      <c r="C200" s="187"/>
    </row>
    <row r="201" spans="1:3" ht="15" customHeight="1" x14ac:dyDescent="0.35">
      <c r="A201" s="186"/>
      <c r="B201" s="155"/>
      <c r="C201" s="187"/>
    </row>
    <row r="202" spans="1:3" ht="15" customHeight="1" x14ac:dyDescent="0.35">
      <c r="A202" s="186"/>
      <c r="B202" s="155"/>
      <c r="C202" s="187"/>
    </row>
    <row r="203" spans="1:3" ht="15" customHeight="1" x14ac:dyDescent="0.35">
      <c r="A203" s="186"/>
      <c r="B203" s="155"/>
      <c r="C203" s="187"/>
    </row>
    <row r="204" spans="1:3" ht="15" customHeight="1" x14ac:dyDescent="0.35">
      <c r="A204" s="186"/>
      <c r="B204" s="155"/>
      <c r="C204" s="187"/>
    </row>
    <row r="205" spans="1:3" ht="15" customHeight="1" x14ac:dyDescent="0.35">
      <c r="A205" s="186"/>
      <c r="B205" s="155"/>
      <c r="C205" s="187"/>
    </row>
    <row r="206" spans="1:3" ht="15" customHeight="1" x14ac:dyDescent="0.35">
      <c r="A206" s="186"/>
      <c r="B206" s="155"/>
      <c r="C206" s="187"/>
    </row>
    <row r="207" spans="1:3" ht="15" customHeight="1" x14ac:dyDescent="0.35">
      <c r="A207" s="186"/>
      <c r="B207" s="155"/>
      <c r="C207" s="187"/>
    </row>
    <row r="208" spans="1:3" ht="15" customHeight="1" x14ac:dyDescent="0.35">
      <c r="A208" s="186"/>
      <c r="B208" s="155"/>
      <c r="C208" s="187"/>
    </row>
    <row r="209" spans="1:3" ht="15" customHeight="1" x14ac:dyDescent="0.35">
      <c r="A209" s="186"/>
      <c r="B209" s="155"/>
      <c r="C209" s="187"/>
    </row>
    <row r="210" spans="1:3" ht="15" customHeight="1" x14ac:dyDescent="0.35">
      <c r="A210" s="186"/>
      <c r="B210" s="155"/>
      <c r="C210" s="187"/>
    </row>
    <row r="211" spans="1:3" ht="15" customHeight="1" x14ac:dyDescent="0.35">
      <c r="A211" s="186"/>
      <c r="B211" s="155"/>
      <c r="C211" s="187"/>
    </row>
    <row r="212" spans="1:3" ht="15" customHeight="1" x14ac:dyDescent="0.35">
      <c r="A212" s="186"/>
      <c r="B212" s="155"/>
      <c r="C212" s="187"/>
    </row>
    <row r="213" spans="1:3" ht="15" customHeight="1" x14ac:dyDescent="0.35">
      <c r="A213" s="186"/>
      <c r="B213" s="155"/>
      <c r="C213" s="187"/>
    </row>
    <row r="214" spans="1:3" ht="15" customHeight="1" x14ac:dyDescent="0.35">
      <c r="A214" s="186"/>
      <c r="B214" s="155"/>
      <c r="C214" s="187"/>
    </row>
    <row r="215" spans="1:3" ht="15" customHeight="1" x14ac:dyDescent="0.35">
      <c r="A215" s="186"/>
      <c r="B215" s="155"/>
      <c r="C215" s="187"/>
    </row>
    <row r="216" spans="1:3" ht="15" customHeight="1" x14ac:dyDescent="0.35">
      <c r="A216" s="186"/>
      <c r="B216" s="155"/>
      <c r="C216" s="187"/>
    </row>
    <row r="217" spans="1:3" ht="15" customHeight="1" x14ac:dyDescent="0.35">
      <c r="A217" s="186"/>
      <c r="B217" s="155"/>
      <c r="C217" s="187"/>
    </row>
    <row r="218" spans="1:3" ht="15" customHeight="1" x14ac:dyDescent="0.35">
      <c r="A218" s="186"/>
      <c r="B218" s="155"/>
      <c r="C218" s="187"/>
    </row>
    <row r="219" spans="1:3" ht="15" customHeight="1" x14ac:dyDescent="0.35">
      <c r="A219" s="186"/>
      <c r="B219" s="155"/>
      <c r="C219" s="187"/>
    </row>
    <row r="220" spans="1:3" ht="15" customHeight="1" x14ac:dyDescent="0.35">
      <c r="A220" s="186"/>
      <c r="B220" s="155"/>
      <c r="C220" s="187"/>
    </row>
    <row r="221" spans="1:3" ht="15" customHeight="1" x14ac:dyDescent="0.35">
      <c r="A221" s="186"/>
      <c r="B221" s="155"/>
      <c r="C221" s="187"/>
    </row>
    <row r="222" spans="1:3" ht="15" customHeight="1" x14ac:dyDescent="0.35">
      <c r="A222" s="186"/>
      <c r="B222" s="155"/>
      <c r="C222" s="187"/>
    </row>
    <row r="223" spans="1:3" ht="15" customHeight="1" x14ac:dyDescent="0.35">
      <c r="A223" s="186"/>
      <c r="B223" s="155"/>
      <c r="C223" s="187"/>
    </row>
    <row r="224" spans="1:3" ht="15" customHeight="1" x14ac:dyDescent="0.35">
      <c r="A224" s="186"/>
      <c r="B224" s="155"/>
      <c r="C224" s="187"/>
    </row>
    <row r="225" spans="1:3" ht="15" customHeight="1" x14ac:dyDescent="0.35">
      <c r="A225" s="186"/>
      <c r="B225" s="155"/>
      <c r="C225" s="187"/>
    </row>
    <row r="226" spans="1:3" ht="15" customHeight="1" x14ac:dyDescent="0.35">
      <c r="A226" s="186"/>
      <c r="B226" s="155"/>
      <c r="C226" s="187"/>
    </row>
    <row r="227" spans="1:3" ht="15" customHeight="1" x14ac:dyDescent="0.35">
      <c r="A227" s="186"/>
      <c r="B227" s="155"/>
      <c r="C227" s="187"/>
    </row>
    <row r="228" spans="1:3" ht="15" customHeight="1" x14ac:dyDescent="0.35">
      <c r="A228" s="186"/>
      <c r="B228" s="155"/>
      <c r="C228" s="187"/>
    </row>
    <row r="229" spans="1:3" ht="15" customHeight="1" x14ac:dyDescent="0.35">
      <c r="A229" s="186"/>
      <c r="B229" s="155"/>
      <c r="C229" s="187"/>
    </row>
    <row r="230" spans="1:3" ht="15" customHeight="1" x14ac:dyDescent="0.35">
      <c r="A230" s="186"/>
      <c r="B230" s="155"/>
      <c r="C230" s="187"/>
    </row>
    <row r="231" spans="1:3" ht="15" customHeight="1" x14ac:dyDescent="0.35">
      <c r="A231" s="186"/>
      <c r="B231" s="155"/>
      <c r="C231" s="187"/>
    </row>
    <row r="232" spans="1:3" ht="15" customHeight="1" x14ac:dyDescent="0.35">
      <c r="A232" s="186"/>
      <c r="B232" s="155"/>
      <c r="C232" s="187"/>
    </row>
    <row r="233" spans="1:3" ht="15" customHeight="1" x14ac:dyDescent="0.35">
      <c r="A233" s="186"/>
      <c r="B233" s="155"/>
      <c r="C233" s="187"/>
    </row>
    <row r="234" spans="1:3" ht="15" customHeight="1" x14ac:dyDescent="0.35">
      <c r="A234" s="186"/>
      <c r="B234" s="155"/>
      <c r="C234" s="187"/>
    </row>
    <row r="235" spans="1:3" ht="15" customHeight="1" x14ac:dyDescent="0.35">
      <c r="A235" s="186"/>
      <c r="B235" s="155"/>
      <c r="C235" s="187"/>
    </row>
    <row r="236" spans="1:3" ht="15" customHeight="1" x14ac:dyDescent="0.35">
      <c r="A236" s="186"/>
      <c r="B236" s="155"/>
      <c r="C236" s="187"/>
    </row>
    <row r="237" spans="1:3" ht="15" customHeight="1" x14ac:dyDescent="0.35">
      <c r="A237" s="186"/>
      <c r="B237" s="155"/>
      <c r="C237" s="187"/>
    </row>
    <row r="238" spans="1:3" ht="15" customHeight="1" x14ac:dyDescent="0.35">
      <c r="A238" s="186"/>
      <c r="B238" s="155"/>
      <c r="C238" s="187"/>
    </row>
    <row r="239" spans="1:3" ht="15" customHeight="1" x14ac:dyDescent="0.35">
      <c r="A239" s="186"/>
      <c r="B239" s="155"/>
      <c r="C239" s="187"/>
    </row>
    <row r="240" spans="1:3" ht="15" customHeight="1" x14ac:dyDescent="0.35">
      <c r="A240" s="186"/>
      <c r="B240" s="155"/>
      <c r="C240" s="187"/>
    </row>
    <row r="241" spans="1:3" ht="15" customHeight="1" x14ac:dyDescent="0.35">
      <c r="A241" s="186"/>
      <c r="B241" s="155"/>
      <c r="C241" s="187"/>
    </row>
    <row r="242" spans="1:3" ht="15" customHeight="1" x14ac:dyDescent="0.35">
      <c r="A242" s="186"/>
      <c r="B242" s="155"/>
      <c r="C242" s="187"/>
    </row>
    <row r="243" spans="1:3" ht="15" customHeight="1" x14ac:dyDescent="0.35">
      <c r="A243" s="186"/>
      <c r="B243" s="155"/>
      <c r="C243" s="187"/>
    </row>
    <row r="244" spans="1:3" ht="15" customHeight="1" x14ac:dyDescent="0.35">
      <c r="A244" s="186"/>
      <c r="B244" s="155"/>
      <c r="C244" s="187"/>
    </row>
    <row r="245" spans="1:3" ht="15" customHeight="1" x14ac:dyDescent="0.35">
      <c r="A245" s="186"/>
      <c r="B245" s="155"/>
      <c r="C245" s="187"/>
    </row>
    <row r="246" spans="1:3" ht="15" customHeight="1" x14ac:dyDescent="0.35">
      <c r="A246" s="186"/>
      <c r="B246" s="155"/>
      <c r="C246" s="187"/>
    </row>
    <row r="247" spans="1:3" ht="15" customHeight="1" x14ac:dyDescent="0.35">
      <c r="A247" s="186"/>
      <c r="B247" s="155"/>
      <c r="C247" s="187"/>
    </row>
    <row r="248" spans="1:3" ht="15" customHeight="1" x14ac:dyDescent="0.35">
      <c r="A248" s="186"/>
      <c r="B248" s="155"/>
      <c r="C248" s="187"/>
    </row>
    <row r="249" spans="1:3" ht="15" customHeight="1" x14ac:dyDescent="0.35">
      <c r="A249" s="186"/>
      <c r="B249" s="155"/>
      <c r="C249" s="187"/>
    </row>
    <row r="250" spans="1:3" ht="15" customHeight="1" x14ac:dyDescent="0.35">
      <c r="A250" s="186"/>
      <c r="B250" s="155"/>
      <c r="C250" s="187"/>
    </row>
    <row r="251" spans="1:3" ht="15" customHeight="1" x14ac:dyDescent="0.35">
      <c r="A251" s="186"/>
      <c r="B251" s="155"/>
      <c r="C251" s="187"/>
    </row>
    <row r="252" spans="1:3" ht="15" customHeight="1" x14ac:dyDescent="0.35">
      <c r="A252" s="186"/>
      <c r="B252" s="155"/>
      <c r="C252" s="187"/>
    </row>
    <row r="253" spans="1:3" ht="15" customHeight="1" x14ac:dyDescent="0.35">
      <c r="A253" s="186"/>
      <c r="B253" s="155"/>
      <c r="C253" s="187"/>
    </row>
    <row r="254" spans="1:3" ht="15" customHeight="1" x14ac:dyDescent="0.35">
      <c r="A254" s="186"/>
      <c r="B254" s="155"/>
      <c r="C254" s="187"/>
    </row>
    <row r="255" spans="1:3" ht="15" customHeight="1" x14ac:dyDescent="0.35">
      <c r="A255" s="186"/>
      <c r="B255" s="155"/>
      <c r="C255" s="187"/>
    </row>
    <row r="256" spans="1:3" ht="15" customHeight="1" x14ac:dyDescent="0.35">
      <c r="A256" s="186"/>
      <c r="B256" s="155"/>
      <c r="C256" s="187"/>
    </row>
    <row r="257" spans="1:3" ht="15" customHeight="1" x14ac:dyDescent="0.35">
      <c r="A257" s="186"/>
      <c r="B257" s="155"/>
      <c r="C257" s="187"/>
    </row>
    <row r="258" spans="1:3" ht="15" customHeight="1" x14ac:dyDescent="0.35">
      <c r="A258" s="186"/>
      <c r="B258" s="155"/>
      <c r="C258" s="187"/>
    </row>
    <row r="259" spans="1:3" ht="15" customHeight="1" x14ac:dyDescent="0.35">
      <c r="A259" s="186"/>
      <c r="B259" s="155"/>
      <c r="C259" s="187"/>
    </row>
    <row r="260" spans="1:3" ht="15" customHeight="1" x14ac:dyDescent="0.35">
      <c r="A260" s="186"/>
      <c r="B260" s="155"/>
      <c r="C260" s="187"/>
    </row>
    <row r="261" spans="1:3" ht="15" customHeight="1" x14ac:dyDescent="0.35">
      <c r="A261" s="186"/>
      <c r="B261" s="155"/>
      <c r="C261" s="187"/>
    </row>
    <row r="262" spans="1:3" ht="15" customHeight="1" x14ac:dyDescent="0.35">
      <c r="A262" s="186"/>
      <c r="B262" s="155"/>
      <c r="C262" s="187"/>
    </row>
    <row r="263" spans="1:3" ht="15" customHeight="1" x14ac:dyDescent="0.35">
      <c r="A263" s="186"/>
      <c r="B263" s="155"/>
      <c r="C263" s="187"/>
    </row>
    <row r="264" spans="1:3" ht="15" customHeight="1" x14ac:dyDescent="0.35">
      <c r="A264" s="186"/>
      <c r="B264" s="155"/>
      <c r="C264" s="187"/>
    </row>
    <row r="265" spans="1:3" ht="15" customHeight="1" x14ac:dyDescent="0.35">
      <c r="A265" s="186"/>
      <c r="B265" s="155"/>
      <c r="C265" s="187"/>
    </row>
    <row r="266" spans="1:3" ht="15" customHeight="1" x14ac:dyDescent="0.35">
      <c r="A266" s="186"/>
      <c r="B266" s="155"/>
      <c r="C266" s="187"/>
    </row>
    <row r="267" spans="1:3" ht="15" customHeight="1" x14ac:dyDescent="0.35">
      <c r="A267" s="186"/>
      <c r="B267" s="155"/>
      <c r="C267" s="187"/>
    </row>
    <row r="268" spans="1:3" ht="15" customHeight="1" x14ac:dyDescent="0.35">
      <c r="A268" s="186"/>
      <c r="B268" s="155"/>
      <c r="C268" s="187"/>
    </row>
    <row r="269" spans="1:3" ht="15" customHeight="1" x14ac:dyDescent="0.35">
      <c r="A269" s="186"/>
      <c r="B269" s="155"/>
      <c r="C269" s="187"/>
    </row>
    <row r="270" spans="1:3" ht="15" customHeight="1" x14ac:dyDescent="0.35">
      <c r="A270" s="186"/>
      <c r="B270" s="155"/>
      <c r="C270" s="187"/>
    </row>
    <row r="271" spans="1:3" ht="15" customHeight="1" x14ac:dyDescent="0.35">
      <c r="A271" s="186"/>
      <c r="B271" s="155"/>
      <c r="C271" s="187"/>
    </row>
    <row r="272" spans="1:3" ht="15" customHeight="1" x14ac:dyDescent="0.35">
      <c r="A272" s="186"/>
      <c r="B272" s="155"/>
      <c r="C272" s="187"/>
    </row>
    <row r="273" spans="1:3" ht="15" customHeight="1" x14ac:dyDescent="0.35">
      <c r="A273" s="186"/>
      <c r="B273" s="155"/>
      <c r="C273" s="187"/>
    </row>
    <row r="274" spans="1:3" ht="15" customHeight="1" x14ac:dyDescent="0.35">
      <c r="A274" s="186"/>
      <c r="B274" s="155"/>
      <c r="C274" s="187"/>
    </row>
    <row r="275" spans="1:3" ht="15" customHeight="1" x14ac:dyDescent="0.35">
      <c r="A275" s="186"/>
      <c r="B275" s="155"/>
      <c r="C275" s="187"/>
    </row>
    <row r="276" spans="1:3" ht="15" customHeight="1" x14ac:dyDescent="0.35">
      <c r="A276" s="186"/>
      <c r="B276" s="155"/>
      <c r="C276" s="187"/>
    </row>
    <row r="277" spans="1:3" ht="15" customHeight="1" x14ac:dyDescent="0.35">
      <c r="A277" s="186"/>
      <c r="B277" s="155"/>
      <c r="C277" s="187"/>
    </row>
    <row r="278" spans="1:3" ht="15" customHeight="1" x14ac:dyDescent="0.35">
      <c r="A278" s="186"/>
      <c r="B278" s="155"/>
      <c r="C278" s="187"/>
    </row>
    <row r="279" spans="1:3" ht="15" customHeight="1" x14ac:dyDescent="0.35">
      <c r="A279" s="186"/>
      <c r="B279" s="155"/>
      <c r="C279" s="187"/>
    </row>
    <row r="280" spans="1:3" ht="15" customHeight="1" x14ac:dyDescent="0.35">
      <c r="A280" s="186"/>
      <c r="B280" s="155"/>
      <c r="C280" s="187"/>
    </row>
    <row r="281" spans="1:3" ht="15" customHeight="1" x14ac:dyDescent="0.35">
      <c r="A281" s="186"/>
      <c r="B281" s="155"/>
      <c r="C281" s="187"/>
    </row>
    <row r="282" spans="1:3" ht="15" customHeight="1" x14ac:dyDescent="0.35">
      <c r="A282" s="186"/>
      <c r="B282" s="155"/>
      <c r="C282" s="187"/>
    </row>
    <row r="283" spans="1:3" ht="15" customHeight="1" x14ac:dyDescent="0.35">
      <c r="A283" s="186"/>
      <c r="B283" s="155"/>
      <c r="C283" s="187"/>
    </row>
    <row r="284" spans="1:3" ht="15" customHeight="1" x14ac:dyDescent="0.35">
      <c r="A284" s="186"/>
      <c r="B284" s="155"/>
      <c r="C284" s="187"/>
    </row>
    <row r="285" spans="1:3" ht="15" customHeight="1" x14ac:dyDescent="0.35">
      <c r="A285" s="186"/>
      <c r="B285" s="155"/>
      <c r="C285" s="187"/>
    </row>
    <row r="286" spans="1:3" ht="15" customHeight="1" x14ac:dyDescent="0.35">
      <c r="A286" s="186"/>
      <c r="B286" s="155"/>
      <c r="C286" s="187"/>
    </row>
    <row r="287" spans="1:3" ht="15" customHeight="1" x14ac:dyDescent="0.35">
      <c r="A287" s="186"/>
      <c r="B287" s="155"/>
      <c r="C287" s="187"/>
    </row>
    <row r="288" spans="1:3" ht="15" customHeight="1" x14ac:dyDescent="0.35">
      <c r="A288" s="186"/>
      <c r="B288" s="155"/>
      <c r="C288" s="187"/>
    </row>
    <row r="289" spans="1:3" ht="15" customHeight="1" x14ac:dyDescent="0.35">
      <c r="A289" s="186"/>
      <c r="B289" s="155"/>
      <c r="C289" s="187"/>
    </row>
    <row r="290" spans="1:3" ht="15" customHeight="1" x14ac:dyDescent="0.35">
      <c r="A290" s="186"/>
      <c r="B290" s="155"/>
      <c r="C290" s="187"/>
    </row>
    <row r="291" spans="1:3" ht="15" customHeight="1" x14ac:dyDescent="0.35">
      <c r="A291" s="186"/>
      <c r="B291" s="155"/>
      <c r="C291" s="187"/>
    </row>
    <row r="292" spans="1:3" ht="15" customHeight="1" x14ac:dyDescent="0.35">
      <c r="A292" s="186"/>
      <c r="B292" s="155"/>
      <c r="C292" s="187"/>
    </row>
    <row r="293" spans="1:3" ht="15" customHeight="1" x14ac:dyDescent="0.35">
      <c r="A293" s="186"/>
      <c r="B293" s="155"/>
      <c r="C293" s="187"/>
    </row>
    <row r="294" spans="1:3" ht="15" customHeight="1" x14ac:dyDescent="0.35">
      <c r="A294" s="186"/>
      <c r="B294" s="155"/>
      <c r="C294" s="187"/>
    </row>
    <row r="295" spans="1:3" ht="15" customHeight="1" x14ac:dyDescent="0.35">
      <c r="A295" s="186"/>
      <c r="B295" s="155"/>
      <c r="C295" s="187"/>
    </row>
    <row r="296" spans="1:3" ht="15" customHeight="1" x14ac:dyDescent="0.35">
      <c r="A296" s="186"/>
      <c r="B296" s="155"/>
      <c r="C296" s="187"/>
    </row>
    <row r="297" spans="1:3" ht="15" customHeight="1" x14ac:dyDescent="0.35">
      <c r="A297" s="186"/>
      <c r="B297" s="155"/>
      <c r="C297" s="187"/>
    </row>
    <row r="298" spans="1:3" ht="15" customHeight="1" x14ac:dyDescent="0.35">
      <c r="A298" s="186"/>
      <c r="B298" s="155"/>
      <c r="C298" s="187"/>
    </row>
    <row r="299" spans="1:3" ht="15" customHeight="1" x14ac:dyDescent="0.35">
      <c r="A299" s="186"/>
      <c r="B299" s="155"/>
      <c r="C299" s="187"/>
    </row>
  </sheetData>
  <phoneticPr fontId="30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1F4EE-D5E6-4E59-91B0-A810607A9814}">
  <sheetPr codeName="Sheet35">
    <tabColor rgb="FF002060"/>
  </sheetPr>
  <dimension ref="A1:I24"/>
  <sheetViews>
    <sheetView workbookViewId="0">
      <pane ySplit="2" topLeftCell="A3" activePane="bottomLeft" state="frozen"/>
      <selection pane="bottomLeft" activeCell="D2" sqref="D2"/>
    </sheetView>
  </sheetViews>
  <sheetFormatPr defaultColWidth="9.08984375" defaultRowHeight="15" customHeight="1" x14ac:dyDescent="0.35"/>
  <cols>
    <col min="1" max="1" width="17.816406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Employee #1</v>
      </c>
      <c r="B2" s="115" t="str">
        <f>IFERROR(_xlfn.XLOOKUP(A2,'QA WK1'!A:A,'QA WK1'!I:I),"")</f>
        <v/>
      </c>
      <c r="C2" s="94">
        <f>IFERROR(_xlfn.XLOOKUP(A2,'ME0025 WK1'!A:A,'ME0025 WK1'!J:J),"")</f>
        <v>4.53</v>
      </c>
      <c r="D2" s="120">
        <f t="shared" ref="D2:D15" si="0">IFERROR(C2/$C$23,"")</f>
        <v>1.393846153846154</v>
      </c>
      <c r="E2" s="116">
        <f>IFERROR(_xlfn.XLOOKUP(A2,'ME0025 WK1'!A:A,'ME0025 WK1'!F:F),"")</f>
        <v>0.94</v>
      </c>
      <c r="F2" s="95" t="str">
        <f>IF(B2="","",IF(AND(B2&lt;100%,B2&gt;90%),3,IF(AND(B2&lt;90%,B2&gt;80%),2,0)))</f>
        <v/>
      </c>
      <c r="G2" s="95">
        <f>IF(C2="","",IF(AND(D2&gt;=115%),3,IF(AND(D2&lt;115%,D2&gt;=105%),2,IF(AND(D2&lt;105%,C2&gt;=95%),1,0))))</f>
        <v>3</v>
      </c>
      <c r="H2" s="95">
        <f>IF(ISBLANK(E2),"",IF(AND(E2&lt;1,E2&gt;0.8999),3,IF(AND(E2&lt;0.9,E2&gt;0.8499),2,0)))</f>
        <v>3</v>
      </c>
      <c r="I2" s="96">
        <f t="shared" ref="I2" si="1">SUM(F2:H2)</f>
        <v>6</v>
      </c>
    </row>
    <row r="3" spans="1:9" ht="15" customHeight="1" x14ac:dyDescent="0.35">
      <c r="A3" s="93" t="str">
        <f>IF(ISBLANK(Roster!A3),"",Roster!A3)</f>
        <v>Employee #2</v>
      </c>
      <c r="B3" s="115" t="str">
        <f>IFERROR(_xlfn.XLOOKUP(A3,'QA WK1'!A:A,'QA WK1'!I:I),"")</f>
        <v/>
      </c>
      <c r="C3" s="94">
        <f>IFERROR(_xlfn.XLOOKUP(A3,'ME0025 WK1'!A:A,'ME0025 WK1'!J:J),"")</f>
        <v>2.73</v>
      </c>
      <c r="D3" s="120">
        <f t="shared" si="0"/>
        <v>0.84</v>
      </c>
      <c r="E3" s="116">
        <f>IFERROR(_xlfn.XLOOKUP(A3,'ME0025 WK1'!A:A,'ME0025 WK1'!F:F),"")</f>
        <v>0.92400000000000004</v>
      </c>
      <c r="F3" s="95" t="str">
        <f t="shared" ref="F3:F22" si="2">IF(B3="","",IF(AND(B3&lt;100%,B3&gt;90%),3,IF(AND(B3&lt;90%,B3&gt;80%),2,0)))</f>
        <v/>
      </c>
      <c r="G3" s="95">
        <f t="shared" ref="G3:G22" si="3">IF(C3="","",IF(AND(D3&gt;=115%),3,IF(AND(D3&lt;115%,D3&gt;=105%),2,IF(AND(D3&lt;105%,C3&gt;=95%),1,0))))</f>
        <v>1</v>
      </c>
      <c r="H3" s="95">
        <f t="shared" ref="H3:H22" si="4">IF(ISBLANK(E3),"",IF(AND(E3&lt;1,E3&gt;0.8999),3,IF(AND(E3&lt;0.9,E3&gt;0.8499),2,0)))</f>
        <v>3</v>
      </c>
      <c r="I3" s="96">
        <f t="shared" ref="I3:I22" si="5">SUM(F3:H3)</f>
        <v>4</v>
      </c>
    </row>
    <row r="4" spans="1:9" ht="15" customHeight="1" x14ac:dyDescent="0.35">
      <c r="A4" s="93" t="str">
        <f>IF(ISBLANK(Roster!A4),"",Roster!A4)</f>
        <v>Employee #3</v>
      </c>
      <c r="B4" s="115" t="str">
        <f>IFERROR(_xlfn.XLOOKUP(A4,'QA WK1'!A:A,'QA WK1'!I:I),"")</f>
        <v/>
      </c>
      <c r="C4" s="94">
        <f>IFERROR(_xlfn.XLOOKUP(A4,'ME0025 WK1'!A:A,'ME0025 WK1'!J:J),"")</f>
        <v>0</v>
      </c>
      <c r="D4" s="120">
        <f t="shared" si="0"/>
        <v>0</v>
      </c>
      <c r="E4" s="116">
        <f>IFERROR(_xlfn.XLOOKUP(A4,'ME0025 WK1'!A:A,'ME0025 WK1'!F:F),"")</f>
        <v>0.87</v>
      </c>
      <c r="F4" s="95" t="str">
        <f t="shared" si="2"/>
        <v/>
      </c>
      <c r="G4" s="95">
        <f t="shared" si="3"/>
        <v>0</v>
      </c>
      <c r="H4" s="95">
        <f t="shared" si="4"/>
        <v>2</v>
      </c>
      <c r="I4" s="96">
        <f t="shared" si="5"/>
        <v>2</v>
      </c>
    </row>
    <row r="5" spans="1:9" ht="15" customHeight="1" x14ac:dyDescent="0.35">
      <c r="A5" s="93" t="str">
        <f>IF(ISBLANK(Roster!A5),"",Roster!A5)</f>
        <v>Employee #4</v>
      </c>
      <c r="B5" s="115" t="str">
        <f>IFERROR(_xlfn.XLOOKUP(A5,'QA WK1'!A:A,'QA WK1'!I:I),"")</f>
        <v/>
      </c>
      <c r="C5" s="94">
        <f>IFERROR(_xlfn.XLOOKUP(A5,'ME0025 WK1'!A:A,'ME0025 WK1'!J:J),"")</f>
        <v>3.35</v>
      </c>
      <c r="D5" s="120">
        <f t="shared" si="0"/>
        <v>1.0307692307692309</v>
      </c>
      <c r="E5" s="116">
        <f>IFERROR(_xlfn.XLOOKUP(A5,'ME0025 WK1'!A:A,'ME0025 WK1'!F:F),"")</f>
        <v>0.93700000000000006</v>
      </c>
      <c r="F5" s="95" t="str">
        <f t="shared" si="2"/>
        <v/>
      </c>
      <c r="G5" s="95">
        <f t="shared" si="3"/>
        <v>1</v>
      </c>
      <c r="H5" s="95">
        <f t="shared" si="4"/>
        <v>3</v>
      </c>
      <c r="I5" s="96">
        <f t="shared" si="5"/>
        <v>4</v>
      </c>
    </row>
    <row r="6" spans="1:9" ht="15" customHeight="1" x14ac:dyDescent="0.35">
      <c r="A6" s="93" t="str">
        <f>IF(ISBLANK(Roster!A6),"",Roster!A6)</f>
        <v>Employee #5</v>
      </c>
      <c r="B6" s="115" t="str">
        <f>IFERROR(_xlfn.XLOOKUP(A6,'QA WK1'!A:A,'QA WK1'!I:I),"")</f>
        <v/>
      </c>
      <c r="C6" s="94">
        <f>IFERROR(_xlfn.XLOOKUP(A6,'ME0025 WK1'!A:A,'ME0025 WK1'!J:J),"")</f>
        <v>2.89</v>
      </c>
      <c r="D6" s="120">
        <f t="shared" si="0"/>
        <v>0.88923076923076927</v>
      </c>
      <c r="E6" s="116">
        <f>IFERROR(_xlfn.XLOOKUP(A6,'ME0025 WK1'!A:A,'ME0025 WK1'!F:F),"")</f>
        <v>0.92200000000000004</v>
      </c>
      <c r="F6" s="95" t="str">
        <f t="shared" si="2"/>
        <v/>
      </c>
      <c r="G6" s="95">
        <f t="shared" si="3"/>
        <v>1</v>
      </c>
      <c r="H6" s="95">
        <f t="shared" si="4"/>
        <v>3</v>
      </c>
      <c r="I6" s="96">
        <f t="shared" si="5"/>
        <v>4</v>
      </c>
    </row>
    <row r="7" spans="1:9" ht="15" customHeight="1" x14ac:dyDescent="0.35">
      <c r="A7" s="93" t="str">
        <f>IF(ISBLANK(Roster!A7),"",Roster!A7)</f>
        <v>Employee #6</v>
      </c>
      <c r="B7" s="115" t="str">
        <f>IFERROR(_xlfn.XLOOKUP(A7,'QA WK1'!A:A,'QA WK1'!I:I),"")</f>
        <v/>
      </c>
      <c r="C7" s="94">
        <f>IFERROR(_xlfn.XLOOKUP(A7,'ME0025 WK1'!A:A,'ME0025 WK1'!J:J),"")</f>
        <v>2.6</v>
      </c>
      <c r="D7" s="120">
        <f t="shared" si="0"/>
        <v>0.8</v>
      </c>
      <c r="E7" s="116">
        <f>IFERROR(_xlfn.XLOOKUP(A7,'ME0025 WK1'!A:A,'ME0025 WK1'!F:F),"")</f>
        <v>0.93899999999999995</v>
      </c>
      <c r="F7" s="95" t="str">
        <f t="shared" si="2"/>
        <v/>
      </c>
      <c r="G7" s="95">
        <f t="shared" si="3"/>
        <v>1</v>
      </c>
      <c r="H7" s="95">
        <f t="shared" si="4"/>
        <v>3</v>
      </c>
      <c r="I7" s="96">
        <f t="shared" si="5"/>
        <v>4</v>
      </c>
    </row>
    <row r="8" spans="1:9" ht="15" customHeight="1" x14ac:dyDescent="0.35">
      <c r="A8" s="93" t="str">
        <f>IF(ISBLANK(Roster!A8),"",Roster!A8)</f>
        <v>Employee #7</v>
      </c>
      <c r="B8" s="115" t="str">
        <f>IFERROR(_xlfn.XLOOKUP(A8,'QA WK1'!A:A,'QA WK1'!I:I),"")</f>
        <v/>
      </c>
      <c r="C8" s="94">
        <f>IFERROR(_xlfn.XLOOKUP(A8,'ME0025 WK1'!A:A,'ME0025 WK1'!J:J),"")</f>
        <v>2.76</v>
      </c>
      <c r="D8" s="120">
        <f t="shared" si="0"/>
        <v>0.84923076923076912</v>
      </c>
      <c r="E8" s="116">
        <f>IFERROR(_xlfn.XLOOKUP(A8,'ME0025 WK1'!A:A,'ME0025 WK1'!F:F),"")</f>
        <v>0.89300000000000002</v>
      </c>
      <c r="F8" s="95" t="str">
        <f t="shared" si="2"/>
        <v/>
      </c>
      <c r="G8" s="95">
        <f t="shared" si="3"/>
        <v>1</v>
      </c>
      <c r="H8" s="95">
        <f t="shared" si="4"/>
        <v>2</v>
      </c>
      <c r="I8" s="96">
        <f t="shared" si="5"/>
        <v>3</v>
      </c>
    </row>
    <row r="9" spans="1:9" ht="15" customHeight="1" x14ac:dyDescent="0.35">
      <c r="A9" s="93" t="str">
        <f>IF(ISBLANK(Roster!A9),"",Roster!A9)</f>
        <v>Employee #8</v>
      </c>
      <c r="B9" s="115" t="str">
        <f>IFERROR(_xlfn.XLOOKUP(A9,'QA WK1'!A:A,'QA WK1'!I:I),"")</f>
        <v/>
      </c>
      <c r="C9" s="94">
        <f>IFERROR(_xlfn.XLOOKUP(A9,'ME0025 WK1'!A:A,'ME0025 WK1'!J:J),"")</f>
        <v>2.34</v>
      </c>
      <c r="D9" s="120">
        <f t="shared" si="0"/>
        <v>0.72</v>
      </c>
      <c r="E9" s="116">
        <f>IFERROR(_xlfn.XLOOKUP(A9,'ME0025 WK1'!A:A,'ME0025 WK1'!F:F),"")</f>
        <v>0.93799999999999994</v>
      </c>
      <c r="F9" s="95" t="str">
        <f t="shared" si="2"/>
        <v/>
      </c>
      <c r="G9" s="95">
        <f t="shared" si="3"/>
        <v>1</v>
      </c>
      <c r="H9" s="95">
        <f t="shared" si="4"/>
        <v>3</v>
      </c>
      <c r="I9" s="96">
        <f t="shared" si="5"/>
        <v>4</v>
      </c>
    </row>
    <row r="10" spans="1:9" ht="15" customHeight="1" x14ac:dyDescent="0.35">
      <c r="A10" s="93" t="str">
        <f>IF(ISBLANK(Roster!A10),"",Roster!A10)</f>
        <v>Employee #9</v>
      </c>
      <c r="B10" s="115" t="str">
        <f>IFERROR(_xlfn.XLOOKUP(A10,'QA WK1'!A:A,'QA WK1'!I:I),"")</f>
        <v/>
      </c>
      <c r="C10" s="94">
        <f>IFERROR(_xlfn.XLOOKUP(A10,'ME0025 WK1'!A:A,'ME0025 WK1'!J:J),"")</f>
        <v>0</v>
      </c>
      <c r="D10" s="120">
        <f t="shared" si="0"/>
        <v>0</v>
      </c>
      <c r="E10" s="116">
        <f>IFERROR(_xlfn.XLOOKUP(A10,'ME0025 WK1'!A:A,'ME0025 WK1'!F:F),"")</f>
        <v>0</v>
      </c>
      <c r="F10" s="95" t="str">
        <f t="shared" si="2"/>
        <v/>
      </c>
      <c r="G10" s="95">
        <f t="shared" si="3"/>
        <v>0</v>
      </c>
      <c r="H10" s="95">
        <f t="shared" si="4"/>
        <v>0</v>
      </c>
      <c r="I10" s="96">
        <f t="shared" si="5"/>
        <v>0</v>
      </c>
    </row>
    <row r="11" spans="1:9" ht="15" customHeight="1" x14ac:dyDescent="0.35">
      <c r="A11" s="93" t="str">
        <f>IF(ISBLANK(Roster!A11),"",Roster!A11)</f>
        <v>Employee #10</v>
      </c>
      <c r="B11" s="115" t="str">
        <f>IFERROR(_xlfn.XLOOKUP(A11,'QA WK1'!A:A,'QA WK1'!I:I),"")</f>
        <v/>
      </c>
      <c r="C11" s="94">
        <f>IFERROR(_xlfn.XLOOKUP(A11,'ME0025 WK1'!A:A,'ME0025 WK1'!J:J),"")</f>
        <v>2.3199999999999998</v>
      </c>
      <c r="D11" s="120">
        <f t="shared" si="0"/>
        <v>0.7138461538461538</v>
      </c>
      <c r="E11" s="116">
        <f>IFERROR(_xlfn.XLOOKUP(A11,'ME0025 WK1'!A:A,'ME0025 WK1'!F:F),"")</f>
        <v>0.90600000000000003</v>
      </c>
      <c r="F11" s="95" t="str">
        <f t="shared" si="2"/>
        <v/>
      </c>
      <c r="G11" s="95">
        <f t="shared" si="3"/>
        <v>1</v>
      </c>
      <c r="H11" s="95">
        <f t="shared" si="4"/>
        <v>3</v>
      </c>
      <c r="I11" s="96">
        <f t="shared" si="5"/>
        <v>4</v>
      </c>
    </row>
    <row r="12" spans="1:9" ht="15" customHeight="1" x14ac:dyDescent="0.35">
      <c r="A12" s="93" t="str">
        <f>IF(ISBLANK(Roster!A12),"",Roster!A12)</f>
        <v>Employee #11</v>
      </c>
      <c r="B12" s="115" t="str">
        <f>IFERROR(_xlfn.XLOOKUP(A12,'QA WK1'!A:A,'QA WK1'!I:I),"")</f>
        <v/>
      </c>
      <c r="C12" s="94">
        <f>IFERROR(_xlfn.XLOOKUP(A12,'ME0025 WK1'!A:A,'ME0025 WK1'!J:J),"")</f>
        <v>3.43</v>
      </c>
      <c r="D12" s="120">
        <f t="shared" si="0"/>
        <v>1.0553846153846154</v>
      </c>
      <c r="E12" s="116">
        <f>IFERROR(_xlfn.XLOOKUP(A12,'ME0025 WK1'!A:A,'ME0025 WK1'!F:F),"")</f>
        <v>0.91</v>
      </c>
      <c r="F12" s="95" t="str">
        <f t="shared" si="2"/>
        <v/>
      </c>
      <c r="G12" s="95">
        <f t="shared" si="3"/>
        <v>2</v>
      </c>
      <c r="H12" s="95">
        <f t="shared" si="4"/>
        <v>3</v>
      </c>
      <c r="I12" s="96">
        <f t="shared" si="5"/>
        <v>5</v>
      </c>
    </row>
    <row r="13" spans="1:9" ht="15" customHeight="1" x14ac:dyDescent="0.35">
      <c r="A13" s="93" t="str">
        <f>IF(ISBLANK(Roster!A13),"",Roster!A13)</f>
        <v>Employee #12</v>
      </c>
      <c r="B13" s="115" t="str">
        <f>IFERROR(_xlfn.XLOOKUP(A13,'QA WK1'!A:A,'QA WK1'!I:I),"")</f>
        <v/>
      </c>
      <c r="C13" s="94">
        <f>IFERROR(_xlfn.XLOOKUP(A13,'ME0025 WK1'!A:A,'ME0025 WK1'!J:J),"")</f>
        <v>2.2400000000000002</v>
      </c>
      <c r="D13" s="120">
        <f t="shared" si="0"/>
        <v>0.68923076923076931</v>
      </c>
      <c r="E13" s="116">
        <f>IFERROR(_xlfn.XLOOKUP(A13,'ME0025 WK1'!A:A,'ME0025 WK1'!F:F),"")</f>
        <v>0.94</v>
      </c>
      <c r="F13" s="95" t="str">
        <f t="shared" si="2"/>
        <v/>
      </c>
      <c r="G13" s="95">
        <f t="shared" si="3"/>
        <v>1</v>
      </c>
      <c r="H13" s="95">
        <f t="shared" si="4"/>
        <v>3</v>
      </c>
      <c r="I13" s="96">
        <f t="shared" si="5"/>
        <v>4</v>
      </c>
    </row>
    <row r="14" spans="1:9" ht="15" customHeight="1" x14ac:dyDescent="0.35">
      <c r="A14" s="93" t="str">
        <f>IF(ISBLANK(Roster!A14),"",Roster!A14)</f>
        <v>Employee #13</v>
      </c>
      <c r="B14" s="115" t="str">
        <f>IFERROR(_xlfn.XLOOKUP(A14,'QA WK1'!A:A,'QA WK1'!I:I),"")</f>
        <v/>
      </c>
      <c r="C14" s="94">
        <f>IFERROR(_xlfn.XLOOKUP(A14,'ME0025 WK1'!A:A,'ME0025 WK1'!J:J),"")</f>
        <v>0</v>
      </c>
      <c r="D14" s="120">
        <f t="shared" si="0"/>
        <v>0</v>
      </c>
      <c r="E14" s="116">
        <f>IFERROR(_xlfn.XLOOKUP(A14,'ME0025 WK1'!A:A,'ME0025 WK1'!F:F),"")</f>
        <v>0.81799999999999995</v>
      </c>
      <c r="F14" s="95" t="str">
        <f t="shared" si="2"/>
        <v/>
      </c>
      <c r="G14" s="95">
        <f t="shared" si="3"/>
        <v>0</v>
      </c>
      <c r="H14" s="95">
        <f t="shared" si="4"/>
        <v>0</v>
      </c>
      <c r="I14" s="96">
        <f t="shared" si="5"/>
        <v>0</v>
      </c>
    </row>
    <row r="15" spans="1:9" ht="15" customHeight="1" x14ac:dyDescent="0.35">
      <c r="A15" s="93" t="str">
        <f>IF(ISBLANK(Roster!A15),"",Roster!A15)</f>
        <v>Employee #14</v>
      </c>
      <c r="B15" s="115" t="str">
        <f>IFERROR(_xlfn.XLOOKUP(A15,'QA WK1'!A:A,'QA WK1'!I:I),"")</f>
        <v/>
      </c>
      <c r="C15" s="94">
        <f>IFERROR(_xlfn.XLOOKUP(A15,'ME0025 WK1'!A:A,'ME0025 WK1'!J:J),"")</f>
        <v>3.72</v>
      </c>
      <c r="D15" s="120">
        <f t="shared" si="0"/>
        <v>1.1446153846153846</v>
      </c>
      <c r="E15" s="116">
        <f>IFERROR(_xlfn.XLOOKUP(A15,'ME0025 WK1'!A:A,'ME0025 WK1'!F:F),"")</f>
        <v>0.95299999999999996</v>
      </c>
      <c r="F15" s="95" t="str">
        <f t="shared" si="2"/>
        <v/>
      </c>
      <c r="G15" s="95">
        <f t="shared" si="3"/>
        <v>2</v>
      </c>
      <c r="H15" s="95">
        <f t="shared" si="4"/>
        <v>3</v>
      </c>
      <c r="I15" s="96">
        <f t="shared" si="5"/>
        <v>5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WK1'!A:A,'QA WK1'!I:I),"")</f>
        <v/>
      </c>
      <c r="C16" s="94" t="str">
        <f>IFERROR(_xlfn.XLOOKUP(A16,'ME0025 WK1'!A:A,'ME0025 WK1'!J:J),"")</f>
        <v/>
      </c>
      <c r="D16" s="120" t="str">
        <f t="shared" ref="D3:D22" si="6">IFERROR(C16/$C$23,"")</f>
        <v/>
      </c>
      <c r="E16" s="116" t="str">
        <f>IFERROR(_xlfn.XLOOKUP(A16,'ME0025 WK1'!A:A,'ME0025 WK1'!F:F),"")</f>
        <v/>
      </c>
      <c r="F16" s="95" t="str">
        <f t="shared" si="2"/>
        <v/>
      </c>
      <c r="G16" s="95" t="str">
        <f t="shared" si="3"/>
        <v/>
      </c>
      <c r="H16" s="95">
        <f t="shared" si="4"/>
        <v>0</v>
      </c>
      <c r="I16" s="96">
        <f t="shared" si="5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WK1'!A:A,'QA WK1'!I:I),"")</f>
        <v/>
      </c>
      <c r="C17" s="94" t="str">
        <f>IFERROR(_xlfn.XLOOKUP(A17,'ME0025 WK1'!A:A,'ME0025 WK1'!J:J),"")</f>
        <v/>
      </c>
      <c r="D17" s="120" t="str">
        <f t="shared" si="6"/>
        <v/>
      </c>
      <c r="E17" s="116" t="str">
        <f>IFERROR(_xlfn.XLOOKUP(A17,'ME0025 WK1'!A:A,'ME0025 WK1'!F:F),"")</f>
        <v/>
      </c>
      <c r="F17" s="95" t="str">
        <f t="shared" si="2"/>
        <v/>
      </c>
      <c r="G17" s="95" t="str">
        <f t="shared" si="3"/>
        <v/>
      </c>
      <c r="H17" s="95">
        <f t="shared" si="4"/>
        <v>0</v>
      </c>
      <c r="I17" s="96">
        <f t="shared" si="5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WK1'!A:A,'QA WK1'!I:I),"")</f>
        <v/>
      </c>
      <c r="C18" s="94" t="str">
        <f>IFERROR(_xlfn.XLOOKUP(A18,'ME0025 WK1'!A:A,'ME0025 WK1'!J:J),"")</f>
        <v/>
      </c>
      <c r="D18" s="120" t="str">
        <f t="shared" si="6"/>
        <v/>
      </c>
      <c r="E18" s="116" t="str">
        <f>IFERROR(_xlfn.XLOOKUP(A18,'ME0025 WK1'!A:A,'ME0025 WK1'!F:F),"")</f>
        <v/>
      </c>
      <c r="F18" s="95" t="str">
        <f t="shared" si="2"/>
        <v/>
      </c>
      <c r="G18" s="95" t="str">
        <f t="shared" si="3"/>
        <v/>
      </c>
      <c r="H18" s="95">
        <f t="shared" si="4"/>
        <v>0</v>
      </c>
      <c r="I18" s="96">
        <f t="shared" si="5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WK1'!A:A,'QA WK1'!I:I),"")</f>
        <v/>
      </c>
      <c r="C19" s="94" t="str">
        <f>IFERROR(_xlfn.XLOOKUP(A19,'ME0025 WK1'!A:A,'ME0025 WK1'!J:J),"")</f>
        <v/>
      </c>
      <c r="D19" s="120" t="str">
        <f t="shared" si="6"/>
        <v/>
      </c>
      <c r="E19" s="116" t="str">
        <f>IFERROR(_xlfn.XLOOKUP(A19,'ME0025 WK1'!A:A,'ME0025 WK1'!F:F),"")</f>
        <v/>
      </c>
      <c r="F19" s="95" t="str">
        <f t="shared" si="2"/>
        <v/>
      </c>
      <c r="G19" s="95" t="str">
        <f t="shared" si="3"/>
        <v/>
      </c>
      <c r="H19" s="95">
        <f t="shared" si="4"/>
        <v>0</v>
      </c>
      <c r="I19" s="96">
        <f t="shared" si="5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WK1'!A:A,'QA WK1'!I:I),"")</f>
        <v/>
      </c>
      <c r="C20" s="94" t="str">
        <f>IFERROR(_xlfn.XLOOKUP(A20,'ME0025 WK1'!A:A,'ME0025 WK1'!J:J),"")</f>
        <v/>
      </c>
      <c r="D20" s="120" t="str">
        <f t="shared" si="6"/>
        <v/>
      </c>
      <c r="E20" s="116" t="str">
        <f>IFERROR(_xlfn.XLOOKUP(A20,'ME0025 WK1'!A:A,'ME0025 WK1'!F:F),"")</f>
        <v/>
      </c>
      <c r="F20" s="95" t="str">
        <f t="shared" si="2"/>
        <v/>
      </c>
      <c r="G20" s="95" t="str">
        <f t="shared" si="3"/>
        <v/>
      </c>
      <c r="H20" s="95">
        <f t="shared" si="4"/>
        <v>0</v>
      </c>
      <c r="I20" s="96">
        <f t="shared" si="5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WK1'!A:A,'QA WK1'!I:I),"")</f>
        <v/>
      </c>
      <c r="C21" s="94" t="str">
        <f>IFERROR(_xlfn.XLOOKUP(A21,'ME0025 WK1'!A:A,'ME0025 WK1'!J:J),"")</f>
        <v/>
      </c>
      <c r="D21" s="120" t="str">
        <f t="shared" si="6"/>
        <v/>
      </c>
      <c r="E21" s="116" t="str">
        <f>IFERROR(_xlfn.XLOOKUP(A21,'ME0025 WK1'!A:A,'ME0025 WK1'!F:F),"")</f>
        <v/>
      </c>
      <c r="F21" s="95" t="str">
        <f t="shared" si="2"/>
        <v/>
      </c>
      <c r="G21" s="95" t="str">
        <f t="shared" si="3"/>
        <v/>
      </c>
      <c r="H21" s="95">
        <f t="shared" si="4"/>
        <v>0</v>
      </c>
      <c r="I21" s="96">
        <f t="shared" si="5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WK1'!A:A,'QA WK1'!I:I),"")</f>
        <v/>
      </c>
      <c r="C22" s="94" t="str">
        <f>IFERROR(_xlfn.XLOOKUP(A22,'ME0025 WK1'!A:A,'ME0025 WK1'!J:J),"")</f>
        <v/>
      </c>
      <c r="D22" s="120" t="str">
        <f t="shared" si="6"/>
        <v/>
      </c>
      <c r="E22" s="116" t="str">
        <f>IFERROR(_xlfn.XLOOKUP(A22,'ME0025 WK1'!A:A,'ME0025 WK1'!F:F),"")</f>
        <v/>
      </c>
      <c r="F22" s="95" t="str">
        <f t="shared" si="2"/>
        <v/>
      </c>
      <c r="G22" s="95" t="str">
        <f t="shared" si="3"/>
        <v/>
      </c>
      <c r="H22" s="95">
        <f t="shared" si="4"/>
        <v>0</v>
      </c>
      <c r="I22" s="96">
        <f t="shared" si="5"/>
        <v>0</v>
      </c>
    </row>
    <row r="23" spans="1:9" ht="15" customHeight="1" thickBot="1" x14ac:dyDescent="0.4">
      <c r="A23" s="202" t="s">
        <v>45</v>
      </c>
      <c r="B23" s="203"/>
      <c r="C23" s="121">
        <v>3.25</v>
      </c>
      <c r="D23" s="200" t="s">
        <v>21</v>
      </c>
      <c r="E23" s="201"/>
      <c r="F23" s="43">
        <f>SUM(F3:F22)</f>
        <v>0</v>
      </c>
      <c r="G23" s="43">
        <f>SUM(G3:G22)</f>
        <v>12</v>
      </c>
      <c r="H23" s="43">
        <f>SUM(H3:H22)</f>
        <v>31</v>
      </c>
      <c r="I23" s="44">
        <f>SUM(I2:I22)</f>
        <v>49</v>
      </c>
    </row>
    <row r="24" spans="1:9" ht="15" customHeight="1" thickTop="1" x14ac:dyDescent="0.35"/>
  </sheetData>
  <sheetProtection algorithmName="SHA-512" hashValue="VARdXkRPye0EhS//koXAHCSiNm/TGurFG34f194BjxtGVJupgBCnilW1aMduNucUa/ZbO4IIPzkvbQiq3LC//Q==" saltValue="R4kLcVHOUbmxyxujl7c6WA==" spinCount="100000" sheet="1" objects="1" scenarios="1"/>
  <mergeCells count="2">
    <mergeCell ref="D23:E23"/>
    <mergeCell ref="A23:B2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2B788-4668-49CC-A3A6-B308C29F76A5}">
  <sheetPr codeName="Sheet1">
    <tabColor rgb="FF002060"/>
  </sheetPr>
  <dimension ref="A1:I30"/>
  <sheetViews>
    <sheetView workbookViewId="0">
      <selection activeCell="D23" sqref="D23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51</v>
      </c>
      <c r="C1" s="111" t="s">
        <v>52</v>
      </c>
      <c r="D1" s="111" t="s">
        <v>53</v>
      </c>
      <c r="E1" s="111" t="s">
        <v>54</v>
      </c>
      <c r="F1" s="111" t="s">
        <v>55</v>
      </c>
      <c r="G1" s="111" t="s">
        <v>56</v>
      </c>
      <c r="H1" s="111" t="s">
        <v>57</v>
      </c>
      <c r="I1" s="111" t="s">
        <v>58</v>
      </c>
    </row>
    <row r="2" spans="1:9" x14ac:dyDescent="0.35">
      <c r="A2" s="204" t="s">
        <v>89</v>
      </c>
      <c r="B2" s="204" t="s">
        <v>103</v>
      </c>
      <c r="C2" s="204" t="s">
        <v>0</v>
      </c>
      <c r="D2" s="205">
        <v>393</v>
      </c>
      <c r="E2" s="206">
        <v>0.35630000000000001</v>
      </c>
      <c r="F2" s="206">
        <v>0.70660000000000001</v>
      </c>
      <c r="G2" s="206">
        <v>0.78590000000000004</v>
      </c>
      <c r="H2" s="206">
        <v>0.82989999999999997</v>
      </c>
      <c r="I2" s="207">
        <v>0.63759999999999994</v>
      </c>
    </row>
    <row r="3" spans="1:9" x14ac:dyDescent="0.35">
      <c r="A3" s="204" t="s">
        <v>90</v>
      </c>
      <c r="B3" s="204" t="s">
        <v>103</v>
      </c>
      <c r="C3" s="204" t="s">
        <v>0</v>
      </c>
      <c r="D3" s="205">
        <v>989</v>
      </c>
      <c r="E3" s="206">
        <v>0.30049999999999999</v>
      </c>
      <c r="F3" s="206">
        <v>0.7379</v>
      </c>
      <c r="G3" s="206">
        <v>0.77680000000000005</v>
      </c>
      <c r="H3" s="206">
        <v>0.97589999999999999</v>
      </c>
      <c r="I3" s="207">
        <v>0.6421</v>
      </c>
    </row>
    <row r="4" spans="1:9" x14ac:dyDescent="0.35">
      <c r="A4" s="204" t="s">
        <v>91</v>
      </c>
      <c r="B4" s="204" t="s">
        <v>103</v>
      </c>
      <c r="C4" s="204" t="s">
        <v>0</v>
      </c>
      <c r="D4" s="205">
        <v>1167</v>
      </c>
      <c r="E4" s="206">
        <v>0.37069999999999997</v>
      </c>
      <c r="F4" s="206">
        <v>0.71089999999999998</v>
      </c>
      <c r="G4" s="206">
        <v>0.81489999999999996</v>
      </c>
      <c r="H4" s="206">
        <v>0.98050000000000004</v>
      </c>
      <c r="I4" s="207">
        <v>0.66700000000000004</v>
      </c>
    </row>
    <row r="5" spans="1:9" x14ac:dyDescent="0.35">
      <c r="A5" s="204" t="s">
        <v>92</v>
      </c>
      <c r="B5" s="204" t="s">
        <v>103</v>
      </c>
      <c r="C5" s="204" t="s">
        <v>0</v>
      </c>
      <c r="D5" s="205">
        <v>2910</v>
      </c>
      <c r="E5" s="206">
        <v>0.89429999999999998</v>
      </c>
      <c r="F5" s="206">
        <v>0.68989999999999996</v>
      </c>
      <c r="G5" s="206">
        <v>0.92730000000000001</v>
      </c>
      <c r="H5" s="206">
        <v>0.99390000000000001</v>
      </c>
      <c r="I5" s="207">
        <v>0.8528</v>
      </c>
    </row>
    <row r="6" spans="1:9" x14ac:dyDescent="0.35">
      <c r="A6" s="204" t="s">
        <v>93</v>
      </c>
      <c r="B6" s="204" t="s">
        <v>103</v>
      </c>
      <c r="C6" s="204" t="s">
        <v>0</v>
      </c>
      <c r="D6" s="205">
        <v>487</v>
      </c>
      <c r="E6" s="206">
        <v>0.94369999999999998</v>
      </c>
      <c r="F6" s="206">
        <v>0.73740000000000006</v>
      </c>
      <c r="G6" s="206">
        <v>0.84719999999999995</v>
      </c>
      <c r="H6" s="206">
        <v>0.95799999999999996</v>
      </c>
      <c r="I6" s="207">
        <v>0.85419999999999996</v>
      </c>
    </row>
    <row r="7" spans="1:9" x14ac:dyDescent="0.35">
      <c r="A7" s="204" t="s">
        <v>94</v>
      </c>
      <c r="B7" s="204" t="s">
        <v>103</v>
      </c>
      <c r="C7" s="204" t="s">
        <v>0</v>
      </c>
      <c r="D7" s="205">
        <v>2190</v>
      </c>
      <c r="E7" s="206">
        <v>0.94779999999999998</v>
      </c>
      <c r="F7" s="206">
        <v>0.67149999999999999</v>
      </c>
      <c r="G7" s="206">
        <v>0.91590000000000005</v>
      </c>
      <c r="H7" s="206">
        <v>0.9919</v>
      </c>
      <c r="I7" s="207">
        <v>0.85970000000000002</v>
      </c>
    </row>
    <row r="8" spans="1:9" x14ac:dyDescent="0.35">
      <c r="A8" s="204" t="s">
        <v>95</v>
      </c>
      <c r="B8" s="204" t="s">
        <v>103</v>
      </c>
      <c r="C8" s="204" t="s">
        <v>0</v>
      </c>
      <c r="D8" s="205">
        <v>2796</v>
      </c>
      <c r="E8" s="206">
        <v>0.94889999999999997</v>
      </c>
      <c r="F8" s="206">
        <v>0.69599999999999995</v>
      </c>
      <c r="G8" s="206">
        <v>0.91090000000000004</v>
      </c>
      <c r="H8" s="206">
        <v>0.99470000000000003</v>
      </c>
      <c r="I8" s="207">
        <v>0.86619999999999997</v>
      </c>
    </row>
    <row r="9" spans="1:9" x14ac:dyDescent="0.35">
      <c r="A9" s="204" t="s">
        <v>96</v>
      </c>
      <c r="B9" s="204" t="s">
        <v>103</v>
      </c>
      <c r="C9" s="204" t="s">
        <v>0</v>
      </c>
      <c r="D9" s="205">
        <v>2768</v>
      </c>
      <c r="E9" s="206">
        <v>0.91210000000000002</v>
      </c>
      <c r="F9" s="206">
        <v>0.72529999999999994</v>
      </c>
      <c r="G9" s="206">
        <v>0.91800000000000004</v>
      </c>
      <c r="H9" s="206">
        <v>0.99760000000000004</v>
      </c>
      <c r="I9" s="207">
        <v>0.86639999999999995</v>
      </c>
    </row>
    <row r="10" spans="1:9" x14ac:dyDescent="0.35">
      <c r="A10" s="204" t="s">
        <v>97</v>
      </c>
      <c r="B10" s="204" t="s">
        <v>103</v>
      </c>
      <c r="C10" s="204" t="s">
        <v>0</v>
      </c>
      <c r="D10" s="205">
        <v>2079</v>
      </c>
      <c r="E10" s="206">
        <v>0.96020000000000005</v>
      </c>
      <c r="F10" s="206">
        <v>0.7</v>
      </c>
      <c r="G10" s="206">
        <v>0.8982</v>
      </c>
      <c r="H10" s="206">
        <v>0.99490000000000001</v>
      </c>
      <c r="I10" s="207">
        <v>0.86699999999999999</v>
      </c>
    </row>
    <row r="11" spans="1:9" x14ac:dyDescent="0.35">
      <c r="A11" s="204" t="s">
        <v>98</v>
      </c>
      <c r="B11" s="204" t="s">
        <v>103</v>
      </c>
      <c r="C11" s="204" t="s">
        <v>0</v>
      </c>
      <c r="D11" s="205">
        <v>2781</v>
      </c>
      <c r="E11" s="206">
        <v>0.93630000000000002</v>
      </c>
      <c r="F11" s="206">
        <v>0.69989999999999997</v>
      </c>
      <c r="G11" s="206">
        <v>0.94010000000000005</v>
      </c>
      <c r="H11" s="206">
        <v>0.99629999999999996</v>
      </c>
      <c r="I11" s="207">
        <v>0.87250000000000005</v>
      </c>
    </row>
    <row r="12" spans="1:9" x14ac:dyDescent="0.35">
      <c r="A12" s="204" t="s">
        <v>99</v>
      </c>
      <c r="B12" s="204" t="s">
        <v>103</v>
      </c>
      <c r="C12" s="204" t="s">
        <v>0</v>
      </c>
      <c r="D12" s="205">
        <v>2835</v>
      </c>
      <c r="E12" s="206">
        <v>0.92979999999999996</v>
      </c>
      <c r="F12" s="206">
        <v>0.76180000000000003</v>
      </c>
      <c r="G12" s="206">
        <v>0.89890000000000003</v>
      </c>
      <c r="H12" s="206">
        <v>0.98729999999999996</v>
      </c>
      <c r="I12" s="207">
        <v>0.87590000000000001</v>
      </c>
    </row>
    <row r="13" spans="1:9" x14ac:dyDescent="0.35">
      <c r="A13" s="204" t="s">
        <v>100</v>
      </c>
      <c r="B13" s="204" t="s">
        <v>103</v>
      </c>
      <c r="C13" s="204" t="s">
        <v>0</v>
      </c>
      <c r="D13" s="205">
        <v>2061</v>
      </c>
      <c r="E13" s="206">
        <v>0.95099999999999996</v>
      </c>
      <c r="F13" s="206">
        <v>0.72570000000000001</v>
      </c>
      <c r="G13" s="206">
        <v>0.93069999999999997</v>
      </c>
      <c r="H13" s="206">
        <v>0.99529999999999996</v>
      </c>
      <c r="I13" s="207">
        <v>0.88170000000000004</v>
      </c>
    </row>
    <row r="14" spans="1:9" x14ac:dyDescent="0.35">
      <c r="A14" s="204" t="s">
        <v>101</v>
      </c>
      <c r="B14" s="204" t="s">
        <v>103</v>
      </c>
      <c r="C14" s="204" t="s">
        <v>0</v>
      </c>
      <c r="D14" s="205">
        <v>2093</v>
      </c>
      <c r="E14" s="206">
        <v>0.97330000000000005</v>
      </c>
      <c r="F14" s="206">
        <v>0.71740000000000004</v>
      </c>
      <c r="G14" s="206">
        <v>0.92710000000000004</v>
      </c>
      <c r="H14" s="206">
        <v>0.99299999999999999</v>
      </c>
      <c r="I14" s="207">
        <v>0.88460000000000005</v>
      </c>
    </row>
    <row r="15" spans="1:9" x14ac:dyDescent="0.35">
      <c r="A15" s="204" t="s">
        <v>102</v>
      </c>
      <c r="B15" s="204" t="s">
        <v>103</v>
      </c>
      <c r="C15" s="204" t="s">
        <v>0</v>
      </c>
      <c r="D15" s="205">
        <v>2729</v>
      </c>
      <c r="E15" s="206">
        <v>0.96540000000000004</v>
      </c>
      <c r="F15" s="206">
        <v>0.74750000000000005</v>
      </c>
      <c r="G15" s="206">
        <v>0.94359999999999999</v>
      </c>
      <c r="H15" s="206">
        <v>0.99529999999999996</v>
      </c>
      <c r="I15" s="207">
        <v>0.89649999999999996</v>
      </c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honeticPr fontId="30" type="noConversion"/>
  <conditionalFormatting sqref="I2:I15">
    <cfRule type="cellIs" dxfId="1" priority="1" operator="lessThan">
      <formula>0.8</formula>
    </cfRule>
    <cfRule type="cellIs" dxfId="0" priority="2" operator="greaterThan">
      <formula>0.8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E7F92-2DB6-472E-B9C2-FA719C12CDA2}">
  <sheetPr codeName="Sheet37">
    <tabColor rgb="FF002060"/>
  </sheetPr>
  <dimension ref="A1:N381"/>
  <sheetViews>
    <sheetView workbookViewId="0">
      <selection activeCell="A4" sqref="A4:A20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2" bestFit="1" customWidth="1"/>
    <col min="7" max="7" width="8.90625" style="40" bestFit="1" customWidth="1"/>
    <col min="8" max="8" width="11.08984375" style="167" bestFit="1" customWidth="1"/>
    <col min="9" max="9" width="16.36328125" style="167" bestFit="1" customWidth="1"/>
    <col min="10" max="10" width="24" style="140" bestFit="1" customWidth="1"/>
    <col min="11" max="11" width="20" style="140" bestFit="1" customWidth="1"/>
    <col min="12" max="12" width="20.453125" style="167" bestFit="1" customWidth="1"/>
    <col min="13" max="13" width="23.1796875" style="2" bestFit="1" customWidth="1"/>
    <col min="14" max="14" width="16.08984375" style="2" bestFit="1" customWidth="1"/>
    <col min="15" max="16384" width="9.08984375" style="1"/>
  </cols>
  <sheetData>
    <row r="1" spans="1:14" s="162" customFormat="1" x14ac:dyDescent="0.35">
      <c r="A1" s="159" t="s">
        <v>1</v>
      </c>
      <c r="B1" s="159" t="s">
        <v>2</v>
      </c>
      <c r="C1" s="159" t="s">
        <v>3</v>
      </c>
      <c r="D1" s="159" t="s">
        <v>10</v>
      </c>
      <c r="E1" s="159" t="s">
        <v>4</v>
      </c>
      <c r="F1" s="168" t="s">
        <v>5</v>
      </c>
      <c r="G1" s="163" t="s">
        <v>6</v>
      </c>
      <c r="H1" s="160" t="s">
        <v>59</v>
      </c>
      <c r="I1" s="160" t="s">
        <v>7</v>
      </c>
      <c r="J1" s="161" t="s">
        <v>60</v>
      </c>
      <c r="K1" s="161" t="s">
        <v>8</v>
      </c>
      <c r="L1" s="160" t="s">
        <v>9</v>
      </c>
      <c r="M1" s="168" t="s">
        <v>61</v>
      </c>
      <c r="N1" s="168" t="s">
        <v>62</v>
      </c>
    </row>
    <row r="2" spans="1:14" x14ac:dyDescent="0.35">
      <c r="A2" s="31"/>
      <c r="B2" s="23"/>
      <c r="C2" s="23"/>
      <c r="D2" s="23"/>
      <c r="E2" s="24"/>
      <c r="F2" s="169"/>
      <c r="G2" s="164"/>
      <c r="H2" s="26"/>
      <c r="I2" s="26"/>
      <c r="J2" s="137"/>
      <c r="K2" s="137"/>
      <c r="L2" s="26"/>
      <c r="M2" s="169"/>
      <c r="N2" s="169"/>
    </row>
    <row r="3" spans="1:14" x14ac:dyDescent="0.35">
      <c r="A3" s="141" t="s">
        <v>71</v>
      </c>
      <c r="B3" s="142">
        <v>1.5553587962962963</v>
      </c>
      <c r="C3" s="143">
        <v>0.31107638888888889</v>
      </c>
      <c r="D3" s="143">
        <v>1.4620138888888889</v>
      </c>
      <c r="E3" s="144">
        <v>0.29240740740740739</v>
      </c>
      <c r="F3" s="145">
        <v>0.94</v>
      </c>
      <c r="G3" s="142">
        <v>4.861111111111111E-4</v>
      </c>
      <c r="H3" s="146">
        <v>2432</v>
      </c>
      <c r="I3" s="146">
        <v>486</v>
      </c>
      <c r="J3" s="147">
        <v>4.53</v>
      </c>
      <c r="K3" s="147">
        <v>31.8</v>
      </c>
      <c r="L3" s="146">
        <v>159</v>
      </c>
      <c r="M3" s="145"/>
      <c r="N3" s="145"/>
    </row>
    <row r="4" spans="1:14" x14ac:dyDescent="0.35">
      <c r="A4" s="148" t="s">
        <v>72</v>
      </c>
      <c r="B4" s="149">
        <v>1.4375231481481481</v>
      </c>
      <c r="C4" s="150">
        <v>0.35938657407407409</v>
      </c>
      <c r="D4" s="150">
        <v>1.3285185185185184</v>
      </c>
      <c r="E4" s="151">
        <v>0.33212962962962961</v>
      </c>
      <c r="F4" s="152">
        <v>0.92400000000000004</v>
      </c>
      <c r="G4" s="149">
        <v>3.3564814814814812E-4</v>
      </c>
      <c r="H4" s="153">
        <v>3214</v>
      </c>
      <c r="I4" s="153">
        <v>804</v>
      </c>
      <c r="J4" s="154">
        <v>2.73</v>
      </c>
      <c r="K4" s="154">
        <v>21.8</v>
      </c>
      <c r="L4" s="153">
        <v>87</v>
      </c>
      <c r="M4" s="152"/>
      <c r="N4" s="152"/>
    </row>
    <row r="5" spans="1:14" x14ac:dyDescent="0.35">
      <c r="A5" s="148" t="s">
        <v>73</v>
      </c>
      <c r="B5" s="149">
        <v>2.0659722222222222E-2</v>
      </c>
      <c r="C5" s="150">
        <v>1.0335648148148148E-2</v>
      </c>
      <c r="D5" s="150">
        <v>1.7974537037037035E-2</v>
      </c>
      <c r="E5" s="151">
        <v>8.9930555555555562E-3</v>
      </c>
      <c r="F5" s="152">
        <v>0.87</v>
      </c>
      <c r="G5" s="149">
        <v>2.8935185185185184E-4</v>
      </c>
      <c r="H5" s="153">
        <v>51</v>
      </c>
      <c r="I5" s="153">
        <v>26</v>
      </c>
      <c r="J5" s="154"/>
      <c r="K5" s="154"/>
      <c r="L5" s="153"/>
      <c r="M5" s="152"/>
      <c r="N5" s="152"/>
    </row>
    <row r="6" spans="1:14" x14ac:dyDescent="0.35">
      <c r="A6" s="148" t="s">
        <v>74</v>
      </c>
      <c r="B6" s="150">
        <v>1.2098032407407406</v>
      </c>
      <c r="C6" s="150">
        <v>0.30245370370370372</v>
      </c>
      <c r="D6" s="150">
        <v>1.1333680555555556</v>
      </c>
      <c r="E6" s="151">
        <v>0.28334490740740742</v>
      </c>
      <c r="F6" s="152">
        <v>0.93700000000000006</v>
      </c>
      <c r="G6" s="149">
        <v>4.5138888888888887E-4</v>
      </c>
      <c r="H6" s="153">
        <v>2124</v>
      </c>
      <c r="I6" s="153">
        <v>531</v>
      </c>
      <c r="J6" s="154">
        <v>3.35</v>
      </c>
      <c r="K6" s="154">
        <v>22.8</v>
      </c>
      <c r="L6" s="153">
        <v>91</v>
      </c>
      <c r="M6" s="152"/>
      <c r="N6" s="152"/>
    </row>
    <row r="7" spans="1:14" x14ac:dyDescent="0.35">
      <c r="A7" s="148" t="s">
        <v>75</v>
      </c>
      <c r="B7" s="149">
        <v>1.7680671296296295</v>
      </c>
      <c r="C7" s="150">
        <v>0.3536111111111111</v>
      </c>
      <c r="D7" s="150">
        <v>1.6299305555555557</v>
      </c>
      <c r="E7" s="151">
        <v>0.32598379629629631</v>
      </c>
      <c r="F7" s="152">
        <v>0.92200000000000004</v>
      </c>
      <c r="G7" s="149">
        <v>3.3564814814814812E-4</v>
      </c>
      <c r="H7" s="153">
        <v>3855</v>
      </c>
      <c r="I7" s="153">
        <v>771</v>
      </c>
      <c r="J7" s="154">
        <v>2.89</v>
      </c>
      <c r="K7" s="154">
        <v>22.6</v>
      </c>
      <c r="L7" s="153">
        <v>113</v>
      </c>
      <c r="M7" s="152"/>
      <c r="N7" s="152"/>
    </row>
    <row r="8" spans="1:14" x14ac:dyDescent="0.35">
      <c r="A8" s="148" t="s">
        <v>76</v>
      </c>
      <c r="B8" s="149">
        <v>0.92283564814814811</v>
      </c>
      <c r="C8" s="150">
        <v>0.23070601851851852</v>
      </c>
      <c r="D8" s="150">
        <v>0.86659722222222224</v>
      </c>
      <c r="E8" s="151">
        <v>0.21665509259259258</v>
      </c>
      <c r="F8" s="152">
        <v>0.93899999999999995</v>
      </c>
      <c r="G8" s="149">
        <v>3.4722222222222224E-4</v>
      </c>
      <c r="H8" s="153">
        <v>2026</v>
      </c>
      <c r="I8" s="153">
        <v>507</v>
      </c>
      <c r="J8" s="154">
        <v>2.6</v>
      </c>
      <c r="K8" s="154">
        <v>13.5</v>
      </c>
      <c r="L8" s="153">
        <v>54</v>
      </c>
      <c r="M8" s="152"/>
      <c r="N8" s="152"/>
    </row>
    <row r="9" spans="1:14" x14ac:dyDescent="0.35">
      <c r="A9" s="148" t="s">
        <v>77</v>
      </c>
      <c r="B9" s="150">
        <v>1.1312962962962962</v>
      </c>
      <c r="C9" s="150">
        <v>0.28282407407407406</v>
      </c>
      <c r="D9" s="150">
        <v>1.0103009259259259</v>
      </c>
      <c r="E9" s="151">
        <v>0.2525810185185185</v>
      </c>
      <c r="F9" s="152">
        <v>0.89300000000000002</v>
      </c>
      <c r="G9" s="149">
        <v>4.1666666666666669E-4</v>
      </c>
      <c r="H9" s="153">
        <v>2032</v>
      </c>
      <c r="I9" s="153">
        <v>508</v>
      </c>
      <c r="J9" s="154">
        <v>2.76</v>
      </c>
      <c r="K9" s="154">
        <v>22.3</v>
      </c>
      <c r="L9" s="153">
        <v>67</v>
      </c>
      <c r="M9" s="152"/>
      <c r="N9" s="152"/>
    </row>
    <row r="10" spans="1:14" x14ac:dyDescent="0.35">
      <c r="A10" s="148" t="s">
        <v>78</v>
      </c>
      <c r="B10" s="149">
        <v>1.0619444444444444</v>
      </c>
      <c r="C10" s="150">
        <v>0.35398148148148151</v>
      </c>
      <c r="D10" s="150">
        <v>0.99631944444444442</v>
      </c>
      <c r="E10" s="151">
        <v>0.33210648148148147</v>
      </c>
      <c r="F10" s="152">
        <v>0.93799999999999994</v>
      </c>
      <c r="G10" s="149">
        <v>3.4722222222222224E-4</v>
      </c>
      <c r="H10" s="153">
        <v>2338</v>
      </c>
      <c r="I10" s="153">
        <v>779</v>
      </c>
      <c r="J10" s="154">
        <v>2.34</v>
      </c>
      <c r="K10" s="154">
        <v>18.7</v>
      </c>
      <c r="L10" s="153">
        <v>56</v>
      </c>
      <c r="M10" s="152"/>
      <c r="N10" s="152"/>
    </row>
    <row r="11" spans="1:14" x14ac:dyDescent="0.35">
      <c r="A11" s="148" t="s">
        <v>79</v>
      </c>
      <c r="B11" s="150">
        <v>7.9745370370370369E-3</v>
      </c>
      <c r="C11" s="150">
        <v>7.9745370370370369E-3</v>
      </c>
      <c r="D11" s="150">
        <v>0</v>
      </c>
      <c r="E11" s="151">
        <v>0</v>
      </c>
      <c r="F11" s="152">
        <v>0</v>
      </c>
      <c r="G11" s="149">
        <v>0</v>
      </c>
      <c r="H11" s="153">
        <v>0</v>
      </c>
      <c r="I11" s="153">
        <v>0</v>
      </c>
      <c r="J11" s="154"/>
      <c r="K11" s="154"/>
      <c r="L11" s="153"/>
      <c r="M11" s="152"/>
      <c r="N11" s="152"/>
    </row>
    <row r="12" spans="1:14" x14ac:dyDescent="0.35">
      <c r="A12" s="148" t="s">
        <v>80</v>
      </c>
      <c r="B12" s="149">
        <v>1.187326388888889</v>
      </c>
      <c r="C12" s="150">
        <v>0.29682870370370368</v>
      </c>
      <c r="D12" s="150">
        <v>1.0762847222222223</v>
      </c>
      <c r="E12" s="151">
        <v>0.26907407407407408</v>
      </c>
      <c r="F12" s="152">
        <v>0.90600000000000003</v>
      </c>
      <c r="G12" s="149">
        <v>3.2407407407407406E-4</v>
      </c>
      <c r="H12" s="153">
        <v>2659</v>
      </c>
      <c r="I12" s="153">
        <v>665</v>
      </c>
      <c r="J12" s="154">
        <v>2.3199999999999998</v>
      </c>
      <c r="K12" s="154">
        <v>15</v>
      </c>
      <c r="L12" s="153">
        <v>60</v>
      </c>
      <c r="M12" s="152"/>
      <c r="N12" s="152"/>
    </row>
    <row r="13" spans="1:14" x14ac:dyDescent="0.35">
      <c r="A13" s="148" t="s">
        <v>81</v>
      </c>
      <c r="B13" s="149">
        <v>1.1074074074074074</v>
      </c>
      <c r="C13" s="150">
        <v>0.27685185185185185</v>
      </c>
      <c r="D13" s="150">
        <v>1.0080092592592593</v>
      </c>
      <c r="E13" s="151">
        <v>0.25200231481481483</v>
      </c>
      <c r="F13" s="152">
        <v>0.91</v>
      </c>
      <c r="G13" s="149">
        <v>4.861111111111111E-4</v>
      </c>
      <c r="H13" s="153">
        <v>1744</v>
      </c>
      <c r="I13" s="153">
        <v>436</v>
      </c>
      <c r="J13" s="154">
        <v>3.43</v>
      </c>
      <c r="K13" s="154">
        <v>20.8</v>
      </c>
      <c r="L13" s="153">
        <v>83</v>
      </c>
      <c r="M13" s="152"/>
      <c r="N13" s="152"/>
    </row>
    <row r="14" spans="1:14" x14ac:dyDescent="0.35">
      <c r="A14" s="148" t="s">
        <v>82</v>
      </c>
      <c r="B14" s="149">
        <v>1.4254282407407408</v>
      </c>
      <c r="C14" s="150">
        <v>0.35635416666666669</v>
      </c>
      <c r="D14" s="150">
        <v>1.3394097222222223</v>
      </c>
      <c r="E14" s="151">
        <v>0.33484953703703701</v>
      </c>
      <c r="F14" s="152">
        <v>0.94</v>
      </c>
      <c r="G14" s="149">
        <v>3.4722222222222224E-4</v>
      </c>
      <c r="H14" s="153">
        <v>3135</v>
      </c>
      <c r="I14" s="153">
        <v>784</v>
      </c>
      <c r="J14" s="154">
        <v>2.2400000000000002</v>
      </c>
      <c r="K14" s="154">
        <v>18</v>
      </c>
      <c r="L14" s="153">
        <v>72</v>
      </c>
      <c r="M14" s="152"/>
      <c r="N14" s="152"/>
    </row>
    <row r="15" spans="1:14" x14ac:dyDescent="0.35">
      <c r="A15" s="148" t="s">
        <v>83</v>
      </c>
      <c r="B15" s="149">
        <v>3.9050925925925926E-2</v>
      </c>
      <c r="C15" s="150">
        <v>1.9525462962962963E-2</v>
      </c>
      <c r="D15" s="150">
        <v>3.1956018518518516E-2</v>
      </c>
      <c r="E15" s="151">
        <v>1.5983796296296298E-2</v>
      </c>
      <c r="F15" s="152">
        <v>0.81799999999999995</v>
      </c>
      <c r="G15" s="149">
        <v>5.7870370370370367E-4</v>
      </c>
      <c r="H15" s="153">
        <v>45</v>
      </c>
      <c r="I15" s="153">
        <v>23</v>
      </c>
      <c r="J15" s="154"/>
      <c r="K15" s="154"/>
      <c r="L15" s="153"/>
      <c r="M15" s="152"/>
      <c r="N15" s="152"/>
    </row>
    <row r="16" spans="1:14" x14ac:dyDescent="0.35">
      <c r="A16" s="148" t="s">
        <v>84</v>
      </c>
      <c r="B16" s="149">
        <v>0.95270833333333338</v>
      </c>
      <c r="C16" s="150">
        <v>0.23818287037037036</v>
      </c>
      <c r="D16" s="150">
        <v>0.90752314814814816</v>
      </c>
      <c r="E16" s="151">
        <v>0.22688657407407409</v>
      </c>
      <c r="F16" s="152">
        <v>0.95299999999999996</v>
      </c>
      <c r="G16" s="149">
        <v>5.7870370370370367E-4</v>
      </c>
      <c r="H16" s="153">
        <v>1296</v>
      </c>
      <c r="I16" s="153">
        <v>324</v>
      </c>
      <c r="J16" s="154">
        <v>3.72</v>
      </c>
      <c r="K16" s="154">
        <v>20.3</v>
      </c>
      <c r="L16" s="153">
        <v>81</v>
      </c>
      <c r="M16" s="152"/>
      <c r="N16" s="152"/>
    </row>
    <row r="17" spans="1:14" x14ac:dyDescent="0.35">
      <c r="A17" s="148" t="s">
        <v>85</v>
      </c>
      <c r="B17" s="149">
        <v>5.4953703703703706E-2</v>
      </c>
      <c r="C17" s="150">
        <v>2.7476851851851853E-2</v>
      </c>
      <c r="D17" s="150">
        <v>4.5324074074074072E-2</v>
      </c>
      <c r="E17" s="151">
        <v>2.2662037037037036E-2</v>
      </c>
      <c r="F17" s="152">
        <v>0.82499999999999996</v>
      </c>
      <c r="G17" s="149">
        <v>6.2500000000000001E-4</v>
      </c>
      <c r="H17" s="153">
        <v>63</v>
      </c>
      <c r="I17" s="153">
        <v>32</v>
      </c>
      <c r="J17" s="154"/>
      <c r="K17" s="154"/>
      <c r="L17" s="153"/>
      <c r="M17" s="152"/>
      <c r="N17" s="152"/>
    </row>
    <row r="18" spans="1:14" x14ac:dyDescent="0.35">
      <c r="A18" s="148" t="s">
        <v>86</v>
      </c>
      <c r="B18" s="149">
        <v>1.4081250000000001</v>
      </c>
      <c r="C18" s="150">
        <v>0.35203703703703704</v>
      </c>
      <c r="D18" s="150">
        <v>1.2953587962962962</v>
      </c>
      <c r="E18" s="151">
        <v>0.32384259259259257</v>
      </c>
      <c r="F18" s="152">
        <v>0.92</v>
      </c>
      <c r="G18" s="149">
        <v>3.4722222222222224E-4</v>
      </c>
      <c r="H18" s="153">
        <v>3074</v>
      </c>
      <c r="I18" s="153">
        <v>769</v>
      </c>
      <c r="J18" s="154">
        <v>2.73</v>
      </c>
      <c r="K18" s="154">
        <v>21.3</v>
      </c>
      <c r="L18" s="153">
        <v>85</v>
      </c>
      <c r="M18" s="152"/>
      <c r="N18" s="152"/>
    </row>
    <row r="19" spans="1:14" x14ac:dyDescent="0.35">
      <c r="A19" s="148" t="s">
        <v>87</v>
      </c>
      <c r="B19" s="149">
        <v>0.70135416666666661</v>
      </c>
      <c r="C19" s="150">
        <v>0.23378472222222221</v>
      </c>
      <c r="D19" s="150">
        <v>0.6665740740740741</v>
      </c>
      <c r="E19" s="151">
        <v>0.22218750000000001</v>
      </c>
      <c r="F19" s="152">
        <v>0.95</v>
      </c>
      <c r="G19" s="149">
        <v>5.9027777777777778E-4</v>
      </c>
      <c r="H19" s="153">
        <v>931</v>
      </c>
      <c r="I19" s="153">
        <v>310</v>
      </c>
      <c r="J19" s="154">
        <v>3.81</v>
      </c>
      <c r="K19" s="154">
        <v>20.3</v>
      </c>
      <c r="L19" s="153">
        <v>61</v>
      </c>
      <c r="M19" s="152"/>
      <c r="N19" s="152"/>
    </row>
    <row r="20" spans="1:14" x14ac:dyDescent="0.35">
      <c r="A20" s="148" t="s">
        <v>88</v>
      </c>
      <c r="B20" s="149">
        <v>1.0864004629629629</v>
      </c>
      <c r="C20" s="150">
        <v>0.36212962962962963</v>
      </c>
      <c r="D20" s="150">
        <v>1.0154976851851851</v>
      </c>
      <c r="E20" s="151">
        <v>0.33849537037037036</v>
      </c>
      <c r="F20" s="152">
        <v>0.93500000000000005</v>
      </c>
      <c r="G20" s="149">
        <v>3.4722222222222224E-4</v>
      </c>
      <c r="H20" s="153">
        <v>2406</v>
      </c>
      <c r="I20" s="153">
        <v>802</v>
      </c>
      <c r="J20" s="154">
        <v>3.24</v>
      </c>
      <c r="K20" s="154">
        <v>26.3</v>
      </c>
      <c r="L20" s="153">
        <v>79</v>
      </c>
      <c r="M20" s="152"/>
      <c r="N20" s="152"/>
    </row>
    <row r="21" spans="1:14" x14ac:dyDescent="0.35">
      <c r="A21" s="148"/>
      <c r="B21" s="149"/>
      <c r="C21" s="150"/>
      <c r="D21" s="150"/>
      <c r="E21" s="151"/>
      <c r="F21" s="152"/>
      <c r="G21" s="149"/>
      <c r="H21" s="153"/>
      <c r="I21" s="153"/>
      <c r="J21" s="154"/>
      <c r="K21" s="154"/>
      <c r="L21" s="153"/>
      <c r="M21" s="152"/>
      <c r="N21" s="152"/>
    </row>
    <row r="22" spans="1:14" x14ac:dyDescent="0.35">
      <c r="A22" s="4"/>
      <c r="B22" s="12"/>
      <c r="C22" s="13"/>
      <c r="D22" s="13"/>
      <c r="E22" s="14"/>
      <c r="F22" s="3"/>
      <c r="G22" s="12"/>
      <c r="H22" s="16"/>
      <c r="I22" s="16"/>
      <c r="J22" s="138"/>
      <c r="K22" s="138"/>
      <c r="L22" s="16"/>
      <c r="M22" s="3"/>
      <c r="N22" s="3"/>
    </row>
    <row r="23" spans="1:14" x14ac:dyDescent="0.35">
      <c r="A23" s="4"/>
      <c r="B23" s="12"/>
      <c r="C23" s="13"/>
      <c r="D23" s="13"/>
      <c r="E23" s="3"/>
      <c r="F23" s="3"/>
      <c r="G23" s="12"/>
      <c r="H23" s="16"/>
      <c r="I23" s="16"/>
      <c r="J23" s="138"/>
      <c r="K23" s="138"/>
      <c r="L23" s="16"/>
      <c r="M23" s="3"/>
      <c r="N23" s="3"/>
    </row>
    <row r="24" spans="1:14" x14ac:dyDescent="0.35">
      <c r="A24" s="4"/>
      <c r="B24" s="12"/>
      <c r="C24" s="13"/>
      <c r="D24" s="13"/>
      <c r="E24" s="3"/>
      <c r="F24" s="3"/>
      <c r="G24" s="12"/>
      <c r="H24" s="16"/>
      <c r="I24" s="16"/>
      <c r="J24" s="138"/>
      <c r="K24" s="138"/>
      <c r="L24" s="16"/>
      <c r="M24" s="3"/>
      <c r="N24" s="3"/>
    </row>
    <row r="25" spans="1:14" x14ac:dyDescent="0.35">
      <c r="A25" s="4"/>
      <c r="B25" s="12"/>
      <c r="C25" s="13"/>
      <c r="D25" s="13"/>
      <c r="E25" s="3"/>
      <c r="F25" s="3"/>
      <c r="G25" s="12"/>
      <c r="H25" s="16"/>
      <c r="I25" s="16"/>
      <c r="J25" s="138"/>
      <c r="K25" s="138"/>
      <c r="L25" s="16"/>
      <c r="M25" s="3"/>
      <c r="N25" s="3"/>
    </row>
    <row r="26" spans="1:14" x14ac:dyDescent="0.35">
      <c r="A26" s="4"/>
      <c r="B26" s="12"/>
      <c r="C26" s="13"/>
      <c r="D26" s="13"/>
      <c r="E26" s="3"/>
      <c r="F26" s="3"/>
      <c r="G26" s="12"/>
      <c r="H26" s="16"/>
      <c r="I26" s="16"/>
      <c r="J26" s="138"/>
      <c r="K26" s="138"/>
      <c r="L26" s="16"/>
      <c r="M26" s="3"/>
      <c r="N26" s="3"/>
    </row>
    <row r="27" spans="1:14" x14ac:dyDescent="0.35">
      <c r="A27" s="4"/>
      <c r="B27" s="13"/>
      <c r="C27" s="13"/>
      <c r="D27" s="13"/>
      <c r="E27" s="3"/>
      <c r="F27" s="3"/>
      <c r="G27" s="12"/>
      <c r="H27" s="16"/>
      <c r="I27" s="16"/>
      <c r="J27" s="138"/>
      <c r="K27" s="138"/>
      <c r="L27" s="16"/>
      <c r="M27" s="3"/>
      <c r="N27" s="3"/>
    </row>
    <row r="28" spans="1:14" x14ac:dyDescent="0.35">
      <c r="A28" s="4"/>
      <c r="B28" s="13"/>
      <c r="C28" s="13"/>
      <c r="D28" s="13"/>
      <c r="E28" s="3"/>
      <c r="F28" s="3"/>
      <c r="G28" s="12"/>
      <c r="H28" s="16"/>
      <c r="I28" s="16"/>
      <c r="J28" s="138"/>
      <c r="K28" s="138"/>
      <c r="L28" s="16"/>
      <c r="M28" s="3"/>
      <c r="N28" s="3"/>
    </row>
    <row r="29" spans="1:14" x14ac:dyDescent="0.35">
      <c r="A29" s="4"/>
      <c r="B29" s="12"/>
      <c r="C29" s="13"/>
      <c r="D29" s="13"/>
      <c r="E29" s="3"/>
      <c r="F29" s="3"/>
      <c r="G29" s="12"/>
      <c r="H29" s="16"/>
      <c r="I29" s="16"/>
      <c r="J29" s="138"/>
      <c r="K29" s="138"/>
      <c r="L29" s="16"/>
      <c r="M29" s="3"/>
      <c r="N29" s="3"/>
    </row>
    <row r="30" spans="1:14" x14ac:dyDescent="0.35">
      <c r="A30" s="4"/>
      <c r="B30" s="12"/>
      <c r="C30" s="13"/>
      <c r="D30" s="13"/>
      <c r="E30" s="3"/>
      <c r="F30" s="3"/>
      <c r="G30" s="12"/>
      <c r="H30" s="16"/>
      <c r="I30" s="16"/>
      <c r="J30" s="138"/>
      <c r="K30" s="138"/>
      <c r="L30" s="16"/>
      <c r="M30" s="3"/>
      <c r="N30" s="3"/>
    </row>
    <row r="31" spans="1:14" x14ac:dyDescent="0.35">
      <c r="A31" s="4"/>
      <c r="B31" s="12"/>
      <c r="C31" s="13"/>
      <c r="D31" s="13"/>
      <c r="E31" s="3"/>
      <c r="F31" s="3"/>
      <c r="G31" s="12"/>
      <c r="H31" s="16"/>
      <c r="I31" s="16"/>
      <c r="J31" s="138"/>
      <c r="K31" s="138"/>
      <c r="L31" s="16"/>
      <c r="M31" s="3"/>
      <c r="N31" s="3"/>
    </row>
    <row r="32" spans="1:14" x14ac:dyDescent="0.35">
      <c r="A32" s="4"/>
      <c r="B32" s="12"/>
      <c r="C32" s="13"/>
      <c r="D32" s="13"/>
      <c r="E32" s="3"/>
      <c r="F32" s="3"/>
      <c r="G32" s="12"/>
      <c r="H32" s="16"/>
      <c r="I32" s="16"/>
      <c r="J32" s="138"/>
      <c r="K32" s="138"/>
      <c r="L32" s="16"/>
      <c r="M32" s="3"/>
      <c r="N32" s="3"/>
    </row>
    <row r="33" spans="1:14" x14ac:dyDescent="0.35">
      <c r="A33" s="4"/>
      <c r="B33" s="12"/>
      <c r="C33" s="13"/>
      <c r="D33" s="13"/>
      <c r="E33" s="3"/>
      <c r="F33" s="3"/>
      <c r="G33" s="12"/>
      <c r="H33" s="16"/>
      <c r="I33" s="16"/>
      <c r="J33" s="138"/>
      <c r="K33" s="138"/>
      <c r="L33" s="16"/>
      <c r="M33" s="3"/>
      <c r="N33" s="3"/>
    </row>
    <row r="34" spans="1:14" x14ac:dyDescent="0.35">
      <c r="A34" s="4"/>
      <c r="B34" s="13"/>
      <c r="C34" s="13"/>
      <c r="D34" s="13"/>
      <c r="E34" s="3"/>
      <c r="F34" s="3"/>
      <c r="G34" s="12"/>
      <c r="H34" s="16"/>
      <c r="I34" s="16"/>
      <c r="J34" s="138"/>
      <c r="K34" s="138"/>
      <c r="L34" s="16"/>
      <c r="M34" s="3"/>
      <c r="N34" s="3"/>
    </row>
    <row r="35" spans="1:14" x14ac:dyDescent="0.35">
      <c r="A35" s="4"/>
      <c r="B35" s="12"/>
      <c r="C35" s="13"/>
      <c r="D35" s="13"/>
      <c r="E35" s="3"/>
      <c r="F35" s="3"/>
      <c r="G35" s="12"/>
      <c r="H35" s="16"/>
      <c r="I35" s="16"/>
      <c r="J35" s="138"/>
      <c r="K35" s="138"/>
      <c r="L35" s="16"/>
      <c r="M35" s="3"/>
      <c r="N35" s="3"/>
    </row>
    <row r="36" spans="1:14" x14ac:dyDescent="0.35">
      <c r="A36" s="4"/>
      <c r="B36" s="13"/>
      <c r="C36" s="13"/>
      <c r="D36" s="13"/>
      <c r="E36" s="3"/>
      <c r="F36" s="3"/>
      <c r="G36" s="12"/>
      <c r="H36" s="16"/>
      <c r="I36" s="16"/>
      <c r="J36" s="138"/>
      <c r="K36" s="138"/>
      <c r="L36" s="16"/>
      <c r="M36" s="3"/>
      <c r="N36" s="3"/>
    </row>
    <row r="37" spans="1:14" ht="15" thickBot="1" x14ac:dyDescent="0.4">
      <c r="A37" s="21"/>
      <c r="B37" s="37"/>
      <c r="C37" s="37"/>
      <c r="D37" s="37"/>
      <c r="E37" s="38"/>
      <c r="F37" s="38"/>
      <c r="G37" s="165"/>
      <c r="H37" s="166"/>
      <c r="I37" s="166"/>
      <c r="J37" s="139"/>
      <c r="K37" s="139"/>
      <c r="L37" s="166"/>
      <c r="M37" s="38"/>
      <c r="N37" s="38"/>
    </row>
    <row r="38" spans="1:14" x14ac:dyDescent="0.35">
      <c r="B38" s="40"/>
      <c r="C38" s="41"/>
      <c r="D38" s="41"/>
      <c r="E38" s="2"/>
    </row>
    <row r="39" spans="1:14" x14ac:dyDescent="0.35">
      <c r="B39" s="41"/>
      <c r="C39" s="41"/>
      <c r="D39" s="41"/>
      <c r="E39" s="2"/>
    </row>
    <row r="40" spans="1:14" x14ac:dyDescent="0.35">
      <c r="B40" s="40"/>
      <c r="C40" s="41"/>
      <c r="D40" s="41"/>
      <c r="E40" s="2"/>
    </row>
    <row r="41" spans="1:14" x14ac:dyDescent="0.35">
      <c r="B41" s="41"/>
      <c r="C41" s="41"/>
      <c r="D41" s="41"/>
      <c r="E41" s="2"/>
    </row>
    <row r="42" spans="1:14" x14ac:dyDescent="0.35">
      <c r="B42" s="40"/>
      <c r="C42" s="41"/>
      <c r="D42" s="41"/>
      <c r="E42" s="2"/>
    </row>
    <row r="43" spans="1:14" x14ac:dyDescent="0.35">
      <c r="B43" s="41"/>
      <c r="C43" s="41"/>
      <c r="D43" s="41"/>
      <c r="E43" s="2"/>
    </row>
    <row r="44" spans="1:14" x14ac:dyDescent="0.35">
      <c r="B44" s="40"/>
      <c r="C44" s="41"/>
      <c r="D44" s="41"/>
      <c r="E44" s="2"/>
    </row>
    <row r="45" spans="1:14" x14ac:dyDescent="0.35">
      <c r="B45" s="40"/>
      <c r="C45" s="41"/>
      <c r="D45" s="41"/>
      <c r="E45" s="2"/>
    </row>
    <row r="46" spans="1:14" x14ac:dyDescent="0.35">
      <c r="B46" s="40"/>
      <c r="C46" s="41"/>
      <c r="D46" s="41"/>
      <c r="E46" s="2"/>
    </row>
    <row r="47" spans="1:14" x14ac:dyDescent="0.35">
      <c r="B47" s="41"/>
      <c r="C47" s="41"/>
      <c r="D47" s="41"/>
      <c r="E47" s="2"/>
    </row>
    <row r="48" spans="1:14" x14ac:dyDescent="0.35">
      <c r="B48" s="40"/>
      <c r="C48" s="41"/>
      <c r="D48" s="41"/>
      <c r="E48" s="2"/>
    </row>
    <row r="49" spans="2:5" x14ac:dyDescent="0.35">
      <c r="B49" s="40"/>
      <c r="C49" s="41"/>
      <c r="D49" s="41"/>
      <c r="E49" s="2"/>
    </row>
    <row r="50" spans="2:5" x14ac:dyDescent="0.35">
      <c r="B50" s="41"/>
      <c r="C50" s="41"/>
      <c r="D50" s="41"/>
      <c r="E50" s="2"/>
    </row>
    <row r="51" spans="2:5" x14ac:dyDescent="0.35">
      <c r="B51" s="40"/>
      <c r="C51" s="41"/>
      <c r="D51" s="41"/>
      <c r="E51" s="2"/>
    </row>
    <row r="52" spans="2:5" x14ac:dyDescent="0.35">
      <c r="B52" s="40"/>
      <c r="C52" s="41"/>
      <c r="D52" s="41"/>
      <c r="E52" s="2"/>
    </row>
    <row r="53" spans="2:5" x14ac:dyDescent="0.35">
      <c r="B53" s="41"/>
      <c r="C53" s="41"/>
      <c r="D53" s="41"/>
      <c r="E53" s="2"/>
    </row>
    <row r="54" spans="2:5" x14ac:dyDescent="0.35">
      <c r="B54" s="41"/>
      <c r="C54" s="41"/>
      <c r="D54" s="41"/>
      <c r="E54" s="2"/>
    </row>
    <row r="55" spans="2:5" x14ac:dyDescent="0.35">
      <c r="B55" s="40"/>
      <c r="C55" s="41"/>
      <c r="D55" s="41"/>
      <c r="E55" s="2"/>
    </row>
    <row r="56" spans="2:5" x14ac:dyDescent="0.35">
      <c r="B56" s="41"/>
      <c r="C56" s="41"/>
      <c r="D56" s="41"/>
      <c r="E56" s="2"/>
    </row>
    <row r="57" spans="2:5" x14ac:dyDescent="0.35">
      <c r="B57" s="40"/>
      <c r="C57" s="41"/>
      <c r="D57" s="41"/>
      <c r="E57" s="2"/>
    </row>
    <row r="58" spans="2:5" x14ac:dyDescent="0.35">
      <c r="B58" s="41"/>
      <c r="C58" s="41"/>
      <c r="D58" s="41"/>
      <c r="E58" s="2"/>
    </row>
    <row r="59" spans="2:5" x14ac:dyDescent="0.35">
      <c r="B59" s="40"/>
      <c r="C59" s="41"/>
      <c r="D59" s="41"/>
      <c r="E59" s="2"/>
    </row>
    <row r="60" spans="2:5" x14ac:dyDescent="0.35">
      <c r="B60" s="40"/>
      <c r="C60" s="41"/>
      <c r="D60" s="41"/>
      <c r="E60" s="2"/>
    </row>
    <row r="61" spans="2:5" x14ac:dyDescent="0.35">
      <c r="B61" s="40"/>
      <c r="C61" s="41"/>
      <c r="D61" s="41"/>
      <c r="E61" s="2"/>
    </row>
    <row r="62" spans="2:5" x14ac:dyDescent="0.35">
      <c r="B62" s="41"/>
      <c r="C62" s="41"/>
      <c r="D62" s="41"/>
      <c r="E62" s="2"/>
    </row>
    <row r="63" spans="2:5" x14ac:dyDescent="0.35">
      <c r="B63" s="40"/>
      <c r="C63" s="41"/>
      <c r="D63" s="41"/>
      <c r="E63" s="2"/>
    </row>
    <row r="64" spans="2:5" x14ac:dyDescent="0.35">
      <c r="B64" s="40"/>
      <c r="C64" s="41"/>
      <c r="D64" s="41"/>
      <c r="E64" s="2"/>
    </row>
    <row r="65" spans="2:5" x14ac:dyDescent="0.35">
      <c r="B65" s="41"/>
      <c r="C65" s="41"/>
      <c r="D65" s="41"/>
      <c r="E65" s="2"/>
    </row>
    <row r="66" spans="2:5" x14ac:dyDescent="0.35">
      <c r="B66" s="40"/>
      <c r="C66" s="41"/>
      <c r="D66" s="41"/>
      <c r="E66" s="2"/>
    </row>
    <row r="67" spans="2:5" x14ac:dyDescent="0.35">
      <c r="B67" s="40"/>
      <c r="C67" s="41"/>
      <c r="D67" s="41"/>
      <c r="E67" s="2"/>
    </row>
    <row r="68" spans="2:5" x14ac:dyDescent="0.35">
      <c r="B68" s="40"/>
      <c r="C68" s="41"/>
      <c r="D68" s="41"/>
      <c r="E68" s="2"/>
    </row>
    <row r="69" spans="2:5" x14ac:dyDescent="0.35">
      <c r="B69" s="40"/>
      <c r="C69" s="41"/>
      <c r="D69" s="41"/>
      <c r="E69" s="2"/>
    </row>
    <row r="70" spans="2:5" x14ac:dyDescent="0.35">
      <c r="B70" s="40"/>
      <c r="C70" s="41"/>
      <c r="D70" s="41"/>
      <c r="E70" s="2"/>
    </row>
    <row r="71" spans="2:5" x14ac:dyDescent="0.35">
      <c r="B71" s="41"/>
      <c r="C71" s="41"/>
      <c r="D71" s="41"/>
      <c r="E71" s="2"/>
    </row>
    <row r="72" spans="2:5" x14ac:dyDescent="0.35">
      <c r="B72" s="40"/>
      <c r="C72" s="41"/>
      <c r="D72" s="41"/>
      <c r="E72" s="2"/>
    </row>
    <row r="73" spans="2:5" x14ac:dyDescent="0.35">
      <c r="B73" s="40"/>
      <c r="C73" s="41"/>
      <c r="D73" s="41"/>
      <c r="E73" s="2"/>
    </row>
    <row r="74" spans="2:5" x14ac:dyDescent="0.35">
      <c r="B74" s="41"/>
      <c r="C74" s="41"/>
      <c r="D74" s="41"/>
      <c r="E74" s="2"/>
    </row>
    <row r="75" spans="2:5" x14ac:dyDescent="0.35">
      <c r="B75" s="41"/>
      <c r="C75" s="41"/>
      <c r="D75" s="41"/>
      <c r="E75" s="2"/>
    </row>
    <row r="76" spans="2:5" x14ac:dyDescent="0.35">
      <c r="B76" s="40"/>
      <c r="C76" s="41"/>
      <c r="D76" s="41"/>
      <c r="E76" s="2"/>
    </row>
    <row r="77" spans="2:5" x14ac:dyDescent="0.35">
      <c r="B77" s="41"/>
      <c r="C77" s="41"/>
      <c r="D77" s="41"/>
      <c r="E77" s="2"/>
    </row>
    <row r="78" spans="2:5" x14ac:dyDescent="0.35">
      <c r="B78" s="40"/>
      <c r="C78" s="41"/>
      <c r="D78" s="41"/>
      <c r="E78" s="2"/>
    </row>
    <row r="79" spans="2:5" x14ac:dyDescent="0.35">
      <c r="B79" s="41"/>
      <c r="C79" s="41"/>
      <c r="D79" s="41"/>
      <c r="E79" s="2"/>
    </row>
    <row r="80" spans="2:5" x14ac:dyDescent="0.35">
      <c r="B80" s="40"/>
      <c r="C80" s="41"/>
      <c r="D80" s="41"/>
      <c r="E80" s="2"/>
    </row>
    <row r="81" spans="2:5" x14ac:dyDescent="0.35">
      <c r="B81" s="40"/>
      <c r="C81" s="41"/>
      <c r="D81" s="41"/>
      <c r="E81" s="2"/>
    </row>
    <row r="82" spans="2:5" x14ac:dyDescent="0.35">
      <c r="B82" s="41"/>
      <c r="C82" s="41"/>
      <c r="D82" s="41"/>
      <c r="E82" s="2"/>
    </row>
    <row r="83" spans="2:5" x14ac:dyDescent="0.35">
      <c r="B83" s="41"/>
      <c r="C83" s="41"/>
      <c r="D83" s="41"/>
      <c r="E83" s="2"/>
    </row>
    <row r="84" spans="2:5" x14ac:dyDescent="0.35">
      <c r="B84" s="40"/>
      <c r="C84" s="41"/>
      <c r="D84" s="41"/>
      <c r="E84" s="2"/>
    </row>
    <row r="85" spans="2:5" x14ac:dyDescent="0.35">
      <c r="B85" s="40"/>
      <c r="C85" s="41"/>
      <c r="D85" s="41"/>
      <c r="E85" s="2"/>
    </row>
    <row r="86" spans="2:5" x14ac:dyDescent="0.35">
      <c r="B86" s="41"/>
      <c r="C86" s="41"/>
      <c r="D86" s="41"/>
      <c r="E86" s="2"/>
    </row>
    <row r="87" spans="2:5" x14ac:dyDescent="0.35">
      <c r="B87" s="40"/>
      <c r="C87" s="41"/>
      <c r="D87" s="41"/>
      <c r="E87" s="2"/>
    </row>
    <row r="88" spans="2:5" x14ac:dyDescent="0.35">
      <c r="B88" s="40"/>
      <c r="C88" s="41"/>
      <c r="D88" s="41"/>
      <c r="E88" s="2"/>
    </row>
    <row r="89" spans="2:5" x14ac:dyDescent="0.35">
      <c r="B89" s="41"/>
      <c r="C89" s="41"/>
      <c r="D89" s="41"/>
      <c r="E89" s="2"/>
    </row>
    <row r="90" spans="2:5" x14ac:dyDescent="0.35">
      <c r="B90" s="41"/>
      <c r="C90" s="41"/>
      <c r="D90" s="41"/>
      <c r="E90" s="2"/>
    </row>
    <row r="91" spans="2:5" x14ac:dyDescent="0.35">
      <c r="B91" s="40"/>
      <c r="C91" s="41"/>
      <c r="D91" s="41"/>
      <c r="E91" s="2"/>
    </row>
    <row r="92" spans="2:5" x14ac:dyDescent="0.35">
      <c r="B92" s="41"/>
      <c r="C92" s="41"/>
      <c r="D92" s="41"/>
      <c r="E92" s="2"/>
    </row>
    <row r="93" spans="2:5" x14ac:dyDescent="0.35">
      <c r="B93" s="40"/>
      <c r="C93" s="41"/>
      <c r="D93" s="41"/>
      <c r="E93" s="2"/>
    </row>
    <row r="94" spans="2:5" x14ac:dyDescent="0.35">
      <c r="B94" s="40"/>
      <c r="C94" s="41"/>
      <c r="D94" s="41"/>
      <c r="E94" s="2"/>
    </row>
    <row r="95" spans="2:5" x14ac:dyDescent="0.35">
      <c r="B95" s="40"/>
      <c r="D95" s="41"/>
      <c r="E95" s="2"/>
    </row>
    <row r="96" spans="2:5" x14ac:dyDescent="0.35">
      <c r="B96" s="41"/>
      <c r="C96" s="41"/>
      <c r="D96" s="41"/>
      <c r="E96" s="2"/>
    </row>
    <row r="97" spans="2:5" x14ac:dyDescent="0.35">
      <c r="B97" s="40"/>
      <c r="C97" s="41"/>
      <c r="D97" s="41"/>
      <c r="E97" s="2"/>
    </row>
    <row r="98" spans="2:5" x14ac:dyDescent="0.35">
      <c r="B98" s="41"/>
      <c r="C98" s="41"/>
      <c r="D98" s="41"/>
      <c r="E98" s="2"/>
    </row>
    <row r="99" spans="2:5" x14ac:dyDescent="0.35">
      <c r="B99" s="40"/>
      <c r="C99" s="41"/>
      <c r="D99" s="41"/>
      <c r="E99" s="2"/>
    </row>
    <row r="100" spans="2:5" x14ac:dyDescent="0.35">
      <c r="B100" s="41"/>
      <c r="C100" s="41"/>
      <c r="D100" s="41"/>
      <c r="E100" s="2"/>
    </row>
    <row r="101" spans="2:5" x14ac:dyDescent="0.35">
      <c r="B101" s="40"/>
      <c r="C101" s="41"/>
      <c r="D101" s="41"/>
      <c r="E101" s="2"/>
    </row>
    <row r="102" spans="2:5" x14ac:dyDescent="0.35">
      <c r="B102" s="41"/>
      <c r="C102" s="41"/>
      <c r="D102" s="41"/>
      <c r="E102" s="2"/>
    </row>
    <row r="103" spans="2:5" x14ac:dyDescent="0.35">
      <c r="B103" s="41"/>
      <c r="C103" s="41"/>
      <c r="D103" s="41"/>
      <c r="E103" s="2"/>
    </row>
    <row r="104" spans="2:5" x14ac:dyDescent="0.35">
      <c r="B104" s="40"/>
      <c r="C104" s="41"/>
      <c r="D104" s="41"/>
      <c r="E104" s="2"/>
    </row>
    <row r="105" spans="2:5" x14ac:dyDescent="0.35">
      <c r="B105" s="41"/>
      <c r="C105" s="41"/>
      <c r="D105" s="41"/>
      <c r="E105" s="2"/>
    </row>
    <row r="106" spans="2:5" x14ac:dyDescent="0.35">
      <c r="B106" s="40"/>
      <c r="C106" s="41"/>
      <c r="D106" s="41"/>
      <c r="E106" s="2"/>
    </row>
    <row r="107" spans="2:5" x14ac:dyDescent="0.35">
      <c r="B107" s="40"/>
      <c r="C107" s="41"/>
      <c r="D107" s="41"/>
      <c r="E107" s="2"/>
    </row>
    <row r="108" spans="2:5" x14ac:dyDescent="0.35">
      <c r="B108" s="40"/>
      <c r="C108" s="41"/>
      <c r="D108" s="41"/>
      <c r="E108" s="2"/>
    </row>
    <row r="109" spans="2:5" x14ac:dyDescent="0.35">
      <c r="B109" s="40"/>
      <c r="C109" s="41"/>
      <c r="D109" s="41"/>
      <c r="E109" s="2"/>
    </row>
    <row r="110" spans="2:5" x14ac:dyDescent="0.35">
      <c r="B110" s="41"/>
      <c r="C110" s="41"/>
      <c r="D110" s="41"/>
      <c r="E110" s="2"/>
    </row>
    <row r="111" spans="2:5" x14ac:dyDescent="0.35">
      <c r="B111" s="40"/>
      <c r="C111" s="41"/>
      <c r="D111" s="41"/>
      <c r="E111" s="2"/>
    </row>
    <row r="112" spans="2:5" x14ac:dyDescent="0.35">
      <c r="B112" s="40"/>
      <c r="C112" s="41"/>
      <c r="D112" s="41"/>
      <c r="E112" s="2"/>
    </row>
    <row r="113" spans="2:5" x14ac:dyDescent="0.35">
      <c r="B113" s="40"/>
      <c r="C113" s="41"/>
      <c r="D113" s="41"/>
      <c r="E113" s="2"/>
    </row>
    <row r="114" spans="2:5" x14ac:dyDescent="0.35">
      <c r="B114" s="40"/>
      <c r="C114" s="41"/>
      <c r="D114" s="41"/>
      <c r="E114" s="2"/>
    </row>
    <row r="115" spans="2:5" x14ac:dyDescent="0.35">
      <c r="B115" s="40"/>
      <c r="C115" s="41"/>
      <c r="D115" s="41"/>
      <c r="E115" s="2"/>
    </row>
    <row r="116" spans="2:5" x14ac:dyDescent="0.35">
      <c r="B116" s="41"/>
      <c r="C116" s="41"/>
      <c r="D116" s="41"/>
      <c r="E116" s="2"/>
    </row>
    <row r="117" spans="2:5" x14ac:dyDescent="0.35">
      <c r="B117" s="41"/>
      <c r="C117" s="41"/>
      <c r="D117" s="41"/>
      <c r="E117" s="2"/>
    </row>
    <row r="118" spans="2:5" x14ac:dyDescent="0.35">
      <c r="B118" s="40"/>
      <c r="C118" s="41"/>
      <c r="D118" s="41"/>
      <c r="E118" s="2"/>
    </row>
    <row r="119" spans="2:5" x14ac:dyDescent="0.35">
      <c r="B119" s="41"/>
      <c r="C119" s="41"/>
      <c r="D119" s="41"/>
      <c r="E119" s="2"/>
    </row>
    <row r="120" spans="2:5" x14ac:dyDescent="0.35">
      <c r="B120" s="41"/>
      <c r="C120" s="41"/>
      <c r="D120" s="41"/>
      <c r="E120" s="2"/>
    </row>
    <row r="121" spans="2:5" x14ac:dyDescent="0.35">
      <c r="B121" s="41"/>
      <c r="C121" s="41"/>
      <c r="D121" s="41"/>
      <c r="E121" s="2"/>
    </row>
    <row r="122" spans="2:5" x14ac:dyDescent="0.35">
      <c r="B122" s="41"/>
      <c r="C122" s="41"/>
      <c r="D122" s="41"/>
      <c r="E122" s="2"/>
    </row>
    <row r="123" spans="2:5" x14ac:dyDescent="0.35">
      <c r="B123" s="41"/>
      <c r="C123" s="41"/>
      <c r="D123" s="41"/>
      <c r="E123" s="2"/>
    </row>
    <row r="124" spans="2:5" x14ac:dyDescent="0.35">
      <c r="B124" s="40"/>
      <c r="C124" s="41"/>
      <c r="D124" s="41"/>
      <c r="E124" s="2"/>
    </row>
    <row r="125" spans="2:5" x14ac:dyDescent="0.35">
      <c r="B125" s="40"/>
      <c r="C125" s="41"/>
      <c r="D125" s="41"/>
      <c r="E125" s="2"/>
    </row>
    <row r="126" spans="2:5" x14ac:dyDescent="0.35">
      <c r="B126" s="41"/>
      <c r="C126" s="41"/>
      <c r="D126" s="41"/>
      <c r="E126" s="2"/>
    </row>
    <row r="127" spans="2:5" x14ac:dyDescent="0.35">
      <c r="B127" s="40"/>
      <c r="D127" s="41"/>
      <c r="E127" s="2"/>
    </row>
    <row r="128" spans="2:5" x14ac:dyDescent="0.35">
      <c r="B128" s="41"/>
      <c r="C128" s="41"/>
      <c r="D128" s="41"/>
      <c r="E128" s="2"/>
    </row>
    <row r="129" spans="2:5" x14ac:dyDescent="0.35">
      <c r="B129" s="40"/>
      <c r="C129" s="41"/>
      <c r="D129" s="41"/>
      <c r="E129" s="2"/>
    </row>
    <row r="130" spans="2:5" x14ac:dyDescent="0.35">
      <c r="B130" s="40"/>
      <c r="C130" s="41"/>
      <c r="D130" s="41"/>
      <c r="E130" s="2"/>
    </row>
    <row r="131" spans="2:5" x14ac:dyDescent="0.35">
      <c r="B131" s="40"/>
      <c r="C131" s="41"/>
      <c r="D131" s="41"/>
      <c r="E131" s="2"/>
    </row>
    <row r="132" spans="2:5" x14ac:dyDescent="0.35">
      <c r="B132" s="40"/>
      <c r="C132" s="41"/>
      <c r="D132" s="41"/>
      <c r="E132" s="2"/>
    </row>
    <row r="133" spans="2:5" x14ac:dyDescent="0.35">
      <c r="B133" s="41"/>
      <c r="C133" s="41"/>
      <c r="D133" s="41"/>
      <c r="E133" s="2"/>
    </row>
    <row r="134" spans="2:5" x14ac:dyDescent="0.35">
      <c r="B134" s="41"/>
      <c r="C134" s="41"/>
      <c r="D134" s="41"/>
      <c r="E134" s="2"/>
    </row>
    <row r="135" spans="2:5" x14ac:dyDescent="0.35">
      <c r="B135" s="40"/>
      <c r="C135" s="41"/>
      <c r="D135" s="41"/>
      <c r="E135" s="2"/>
    </row>
    <row r="136" spans="2:5" x14ac:dyDescent="0.35">
      <c r="B136" s="41"/>
      <c r="C136" s="41"/>
      <c r="D136" s="41"/>
      <c r="E136" s="2"/>
    </row>
    <row r="137" spans="2:5" x14ac:dyDescent="0.35">
      <c r="B137" s="41"/>
      <c r="C137" s="41"/>
      <c r="D137" s="41"/>
      <c r="E137" s="2"/>
    </row>
    <row r="138" spans="2:5" x14ac:dyDescent="0.35">
      <c r="B138" s="40"/>
      <c r="C138" s="41"/>
      <c r="D138" s="41"/>
      <c r="E138" s="2"/>
    </row>
    <row r="139" spans="2:5" x14ac:dyDescent="0.35">
      <c r="B139" s="40"/>
      <c r="C139" s="41"/>
      <c r="D139" s="41"/>
      <c r="E139" s="2"/>
    </row>
    <row r="140" spans="2:5" x14ac:dyDescent="0.35">
      <c r="B140" s="40"/>
      <c r="C140" s="41"/>
      <c r="D140" s="41"/>
      <c r="E140" s="2"/>
    </row>
    <row r="141" spans="2:5" x14ac:dyDescent="0.35">
      <c r="B141" s="40"/>
      <c r="C141" s="41"/>
      <c r="D141" s="41"/>
      <c r="E141" s="2"/>
    </row>
    <row r="142" spans="2:5" x14ac:dyDescent="0.35">
      <c r="B142" s="41"/>
      <c r="C142" s="41"/>
      <c r="D142" s="41"/>
      <c r="E142" s="2"/>
    </row>
    <row r="143" spans="2:5" x14ac:dyDescent="0.35">
      <c r="B143" s="40"/>
      <c r="C143" s="41"/>
      <c r="D143" s="41"/>
      <c r="E143" s="2"/>
    </row>
    <row r="144" spans="2:5" x14ac:dyDescent="0.35">
      <c r="B144" s="41"/>
      <c r="C144" s="41"/>
      <c r="D144" s="41"/>
      <c r="E144" s="2"/>
    </row>
    <row r="145" spans="2:5" x14ac:dyDescent="0.35">
      <c r="B145" s="41"/>
      <c r="C145" s="41"/>
      <c r="D145" s="41"/>
      <c r="E145" s="2"/>
    </row>
    <row r="146" spans="2:5" x14ac:dyDescent="0.35">
      <c r="B146" s="40"/>
      <c r="C146" s="41"/>
      <c r="D146" s="41"/>
      <c r="E146" s="2"/>
    </row>
    <row r="147" spans="2:5" x14ac:dyDescent="0.35">
      <c r="B147" s="41"/>
      <c r="C147" s="41"/>
      <c r="D147" s="41"/>
      <c r="E147" s="2"/>
    </row>
    <row r="148" spans="2:5" x14ac:dyDescent="0.35">
      <c r="B148" s="41"/>
      <c r="C148" s="41"/>
      <c r="D148" s="41"/>
      <c r="E148" s="2"/>
    </row>
    <row r="149" spans="2:5" x14ac:dyDescent="0.35">
      <c r="B149" s="41"/>
      <c r="C149" s="41"/>
      <c r="D149" s="41"/>
      <c r="E149" s="2"/>
    </row>
    <row r="150" spans="2:5" x14ac:dyDescent="0.35">
      <c r="B150" s="40"/>
      <c r="C150" s="41"/>
      <c r="D150" s="41"/>
      <c r="E150" s="2"/>
    </row>
    <row r="151" spans="2:5" x14ac:dyDescent="0.35">
      <c r="B151" s="41"/>
      <c r="C151" s="41"/>
      <c r="D151" s="41"/>
      <c r="E151" s="2"/>
    </row>
    <row r="152" spans="2:5" x14ac:dyDescent="0.35">
      <c r="B152" s="40"/>
      <c r="C152" s="41"/>
      <c r="D152" s="41"/>
      <c r="E152" s="2"/>
    </row>
    <row r="153" spans="2:5" x14ac:dyDescent="0.35">
      <c r="B153" s="40"/>
      <c r="C153" s="41"/>
      <c r="E153" s="2"/>
    </row>
    <row r="154" spans="2:5" x14ac:dyDescent="0.35">
      <c r="B154" s="41"/>
      <c r="C154" s="41"/>
      <c r="D154" s="41"/>
      <c r="E154" s="2"/>
    </row>
    <row r="155" spans="2:5" x14ac:dyDescent="0.35">
      <c r="B155" s="41"/>
      <c r="C155" s="41"/>
      <c r="D155" s="41"/>
      <c r="E155" s="2"/>
    </row>
    <row r="156" spans="2:5" x14ac:dyDescent="0.35">
      <c r="B156" s="41"/>
      <c r="C156" s="41"/>
      <c r="D156" s="41"/>
      <c r="E156" s="2"/>
    </row>
    <row r="157" spans="2:5" x14ac:dyDescent="0.35">
      <c r="B157" s="40"/>
      <c r="C157" s="41"/>
      <c r="D157" s="41"/>
      <c r="E157" s="2"/>
    </row>
    <row r="158" spans="2:5" x14ac:dyDescent="0.35">
      <c r="B158" s="41"/>
      <c r="C158" s="41"/>
      <c r="D158" s="41"/>
      <c r="E158" s="2"/>
    </row>
    <row r="159" spans="2:5" x14ac:dyDescent="0.35">
      <c r="B159" s="41"/>
      <c r="C159" s="41"/>
      <c r="D159" s="41"/>
      <c r="E159" s="2"/>
    </row>
    <row r="160" spans="2:5" x14ac:dyDescent="0.35">
      <c r="B160" s="41"/>
      <c r="C160" s="41"/>
      <c r="D160" s="41"/>
      <c r="E160" s="2"/>
    </row>
    <row r="161" spans="2:5" x14ac:dyDescent="0.35">
      <c r="B161" s="41"/>
      <c r="C161" s="41"/>
      <c r="D161" s="41"/>
      <c r="E161" s="2"/>
    </row>
    <row r="162" spans="2:5" x14ac:dyDescent="0.35">
      <c r="B162" s="41"/>
      <c r="C162" s="41"/>
      <c r="D162" s="41"/>
      <c r="E162" s="2"/>
    </row>
    <row r="163" spans="2:5" x14ac:dyDescent="0.35">
      <c r="B163" s="41"/>
      <c r="C163" s="41"/>
      <c r="D163" s="41"/>
      <c r="E163" s="2"/>
    </row>
    <row r="164" spans="2:5" x14ac:dyDescent="0.35">
      <c r="B164" s="41"/>
      <c r="C164" s="41"/>
      <c r="D164" s="41"/>
      <c r="E164" s="2"/>
    </row>
    <row r="165" spans="2:5" x14ac:dyDescent="0.35">
      <c r="B165" s="41"/>
      <c r="C165" s="41"/>
      <c r="D165" s="41"/>
      <c r="E165" s="2"/>
    </row>
    <row r="166" spans="2:5" x14ac:dyDescent="0.35">
      <c r="B166" s="41"/>
      <c r="C166" s="41"/>
      <c r="D166" s="41"/>
      <c r="E166" s="2"/>
    </row>
    <row r="167" spans="2:5" x14ac:dyDescent="0.35">
      <c r="B167" s="41"/>
      <c r="C167" s="41"/>
      <c r="D167" s="41"/>
      <c r="E167" s="2"/>
    </row>
    <row r="168" spans="2:5" x14ac:dyDescent="0.35">
      <c r="B168" s="41"/>
      <c r="C168" s="41"/>
      <c r="D168" s="41"/>
      <c r="E168" s="2"/>
    </row>
    <row r="169" spans="2:5" x14ac:dyDescent="0.35">
      <c r="B169" s="41"/>
      <c r="C169" s="41"/>
      <c r="D169" s="41"/>
      <c r="E169" s="2"/>
    </row>
    <row r="170" spans="2:5" x14ac:dyDescent="0.35">
      <c r="B170" s="41"/>
      <c r="C170" s="41"/>
      <c r="D170" s="41"/>
      <c r="E170" s="2"/>
    </row>
    <row r="171" spans="2:5" x14ac:dyDescent="0.35">
      <c r="B171" s="40"/>
      <c r="C171" s="41"/>
      <c r="D171" s="41"/>
      <c r="E171" s="2"/>
    </row>
    <row r="172" spans="2:5" x14ac:dyDescent="0.35">
      <c r="B172" s="41"/>
      <c r="C172" s="41"/>
      <c r="D172" s="41"/>
      <c r="E172" s="2"/>
    </row>
    <row r="173" spans="2:5" x14ac:dyDescent="0.35">
      <c r="B173" s="41"/>
      <c r="C173" s="41"/>
      <c r="D173" s="41"/>
      <c r="E173" s="2"/>
    </row>
    <row r="174" spans="2:5" x14ac:dyDescent="0.35">
      <c r="B174" s="40"/>
      <c r="C174" s="41"/>
      <c r="D174" s="41"/>
      <c r="E174" s="2"/>
    </row>
    <row r="175" spans="2:5" x14ac:dyDescent="0.35">
      <c r="B175" s="40"/>
      <c r="C175" s="41"/>
      <c r="D175" s="41"/>
      <c r="E175" s="2"/>
    </row>
    <row r="176" spans="2:5" x14ac:dyDescent="0.35">
      <c r="B176" s="40"/>
      <c r="C176" s="41"/>
      <c r="D176" s="41"/>
      <c r="E176" s="2"/>
    </row>
    <row r="177" spans="2:5" x14ac:dyDescent="0.35">
      <c r="B177" s="40"/>
      <c r="C177" s="41"/>
      <c r="D177" s="41"/>
      <c r="E177" s="2"/>
    </row>
    <row r="178" spans="2:5" x14ac:dyDescent="0.35">
      <c r="B178" s="41"/>
      <c r="C178" s="41"/>
      <c r="D178" s="41"/>
      <c r="E178" s="2"/>
    </row>
    <row r="179" spans="2:5" x14ac:dyDescent="0.35">
      <c r="B179" s="40"/>
      <c r="C179" s="41"/>
      <c r="D179" s="41"/>
      <c r="E179" s="2"/>
    </row>
    <row r="180" spans="2:5" x14ac:dyDescent="0.35">
      <c r="B180" s="40"/>
      <c r="C180" s="41"/>
      <c r="D180" s="41"/>
      <c r="E180" s="2"/>
    </row>
    <row r="181" spans="2:5" x14ac:dyDescent="0.35">
      <c r="B181" s="40"/>
      <c r="C181" s="41"/>
      <c r="D181" s="41"/>
      <c r="E181" s="2"/>
    </row>
    <row r="182" spans="2:5" x14ac:dyDescent="0.35">
      <c r="B182" s="40"/>
      <c r="C182" s="41"/>
      <c r="D182" s="41"/>
      <c r="E182" s="2"/>
    </row>
    <row r="183" spans="2:5" x14ac:dyDescent="0.35">
      <c r="B183" s="41"/>
      <c r="C183" s="41"/>
      <c r="D183" s="41"/>
      <c r="E183" s="2"/>
    </row>
    <row r="184" spans="2:5" x14ac:dyDescent="0.35">
      <c r="B184" s="41"/>
      <c r="C184" s="41"/>
      <c r="D184" s="41"/>
      <c r="E184" s="2"/>
    </row>
    <row r="185" spans="2:5" x14ac:dyDescent="0.35">
      <c r="B185" s="40"/>
      <c r="C185" s="41"/>
      <c r="D185" s="41"/>
      <c r="E185" s="2"/>
    </row>
    <row r="186" spans="2:5" x14ac:dyDescent="0.35">
      <c r="B186" s="40"/>
      <c r="C186" s="41"/>
      <c r="D186" s="41"/>
      <c r="E186" s="2"/>
    </row>
    <row r="187" spans="2:5" x14ac:dyDescent="0.35">
      <c r="B187" s="40"/>
      <c r="C187" s="41"/>
      <c r="D187" s="41"/>
      <c r="E187" s="2"/>
    </row>
    <row r="188" spans="2:5" x14ac:dyDescent="0.35">
      <c r="B188" s="40"/>
      <c r="C188" s="41"/>
      <c r="D188" s="41"/>
      <c r="E188" s="2"/>
    </row>
    <row r="189" spans="2:5" x14ac:dyDescent="0.35">
      <c r="B189" s="41"/>
      <c r="C189" s="41"/>
      <c r="D189" s="41"/>
      <c r="E189" s="2"/>
    </row>
    <row r="190" spans="2:5" x14ac:dyDescent="0.35">
      <c r="B190" s="41"/>
      <c r="C190" s="41"/>
      <c r="D190" s="41"/>
      <c r="E190" s="2"/>
    </row>
    <row r="191" spans="2:5" x14ac:dyDescent="0.35">
      <c r="B191" s="40"/>
      <c r="C191" s="41"/>
      <c r="D191" s="41"/>
      <c r="E191" s="2"/>
    </row>
    <row r="192" spans="2:5" x14ac:dyDescent="0.35">
      <c r="B192" s="41"/>
      <c r="C192" s="41"/>
      <c r="D192" s="41"/>
      <c r="E192" s="2"/>
    </row>
    <row r="193" spans="2:5" x14ac:dyDescent="0.35">
      <c r="B193" s="40"/>
      <c r="C193" s="41"/>
      <c r="D193" s="41"/>
      <c r="E193" s="2"/>
    </row>
    <row r="194" spans="2:5" x14ac:dyDescent="0.35">
      <c r="B194" s="40"/>
      <c r="C194" s="41"/>
      <c r="D194" s="41"/>
      <c r="E194" s="2"/>
    </row>
    <row r="195" spans="2:5" x14ac:dyDescent="0.35">
      <c r="B195" s="40"/>
      <c r="C195" s="41"/>
      <c r="D195" s="41"/>
      <c r="E195" s="2"/>
    </row>
    <row r="196" spans="2:5" x14ac:dyDescent="0.35">
      <c r="B196" s="41"/>
      <c r="C196" s="41"/>
      <c r="D196" s="41"/>
      <c r="E196" s="2"/>
    </row>
    <row r="197" spans="2:5" x14ac:dyDescent="0.35">
      <c r="B197" s="40"/>
      <c r="C197" s="41"/>
      <c r="D197" s="41"/>
      <c r="E197" s="2"/>
    </row>
    <row r="198" spans="2:5" x14ac:dyDescent="0.35">
      <c r="B198" s="40"/>
      <c r="C198" s="41"/>
      <c r="D198" s="41"/>
      <c r="E198" s="2"/>
    </row>
    <row r="199" spans="2:5" x14ac:dyDescent="0.35">
      <c r="B199" s="40"/>
      <c r="C199" s="41"/>
      <c r="D199" s="41"/>
      <c r="E199" s="2"/>
    </row>
    <row r="200" spans="2:5" x14ac:dyDescent="0.35">
      <c r="B200" s="41"/>
      <c r="C200" s="41"/>
      <c r="D200" s="41"/>
      <c r="E200" s="2"/>
    </row>
    <row r="201" spans="2:5" x14ac:dyDescent="0.35">
      <c r="B201" s="40"/>
      <c r="C201" s="41"/>
      <c r="D201" s="41"/>
      <c r="E201" s="2"/>
    </row>
    <row r="202" spans="2:5" x14ac:dyDescent="0.35">
      <c r="B202" s="40"/>
      <c r="C202" s="41"/>
      <c r="D202" s="41"/>
      <c r="E202" s="2"/>
    </row>
    <row r="203" spans="2:5" x14ac:dyDescent="0.35">
      <c r="B203" s="40"/>
      <c r="C203" s="41"/>
      <c r="D203" s="41"/>
      <c r="E203" s="2"/>
    </row>
    <row r="204" spans="2:5" x14ac:dyDescent="0.35">
      <c r="B204" s="40"/>
      <c r="C204" s="41"/>
      <c r="D204" s="41"/>
      <c r="E204" s="2"/>
    </row>
    <row r="205" spans="2:5" x14ac:dyDescent="0.35">
      <c r="B205" s="41"/>
      <c r="C205" s="41"/>
      <c r="D205" s="41"/>
      <c r="E205" s="2"/>
    </row>
    <row r="206" spans="2:5" x14ac:dyDescent="0.35">
      <c r="B206" s="40"/>
      <c r="C206" s="41"/>
      <c r="D206" s="41"/>
      <c r="E206" s="2"/>
    </row>
    <row r="207" spans="2:5" x14ac:dyDescent="0.35">
      <c r="B207" s="40"/>
      <c r="C207" s="41"/>
      <c r="D207" s="41"/>
      <c r="E207" s="2"/>
    </row>
    <row r="208" spans="2:5" x14ac:dyDescent="0.35">
      <c r="B208" s="40"/>
      <c r="C208" s="41"/>
      <c r="D208" s="41"/>
      <c r="E208" s="2"/>
    </row>
    <row r="209" spans="2:5" x14ac:dyDescent="0.35">
      <c r="B209" s="41"/>
      <c r="C209" s="41"/>
      <c r="D209" s="41"/>
      <c r="E209" s="2"/>
    </row>
    <row r="210" spans="2:5" x14ac:dyDescent="0.35">
      <c r="B210" s="40"/>
      <c r="C210" s="41"/>
      <c r="D210" s="41"/>
      <c r="E210" s="2"/>
    </row>
    <row r="211" spans="2:5" x14ac:dyDescent="0.35">
      <c r="B211" s="40"/>
      <c r="C211" s="41"/>
      <c r="D211" s="41"/>
      <c r="E211" s="2"/>
    </row>
    <row r="212" spans="2:5" x14ac:dyDescent="0.35">
      <c r="B212" s="40"/>
      <c r="C212" s="41"/>
      <c r="D212" s="41"/>
      <c r="E212" s="2"/>
    </row>
    <row r="213" spans="2:5" x14ac:dyDescent="0.35">
      <c r="B213" s="40"/>
      <c r="C213" s="41"/>
      <c r="D213" s="41"/>
      <c r="E213" s="2"/>
    </row>
    <row r="214" spans="2:5" x14ac:dyDescent="0.35">
      <c r="B214" s="40"/>
      <c r="C214" s="41"/>
      <c r="D214" s="41"/>
      <c r="E214" s="2"/>
    </row>
    <row r="215" spans="2:5" x14ac:dyDescent="0.35">
      <c r="B215" s="40"/>
      <c r="C215" s="41"/>
      <c r="D215" s="41"/>
      <c r="E215" s="2"/>
    </row>
    <row r="216" spans="2:5" x14ac:dyDescent="0.35">
      <c r="B216" s="41"/>
      <c r="C216" s="41"/>
      <c r="D216" s="41"/>
      <c r="E216" s="2"/>
    </row>
    <row r="217" spans="2:5" x14ac:dyDescent="0.35">
      <c r="B217" s="40"/>
      <c r="C217" s="41"/>
      <c r="D217" s="41"/>
      <c r="E217" s="2"/>
    </row>
    <row r="218" spans="2:5" x14ac:dyDescent="0.35">
      <c r="B218" s="40"/>
      <c r="C218" s="41"/>
      <c r="D218" s="41"/>
      <c r="E218" s="2"/>
    </row>
    <row r="219" spans="2:5" x14ac:dyDescent="0.35">
      <c r="B219" s="41"/>
      <c r="C219" s="41"/>
      <c r="D219" s="41"/>
      <c r="E219" s="2"/>
    </row>
    <row r="220" spans="2:5" x14ac:dyDescent="0.35">
      <c r="B220" s="40"/>
      <c r="C220" s="41"/>
      <c r="D220" s="41"/>
      <c r="E220" s="2"/>
    </row>
    <row r="221" spans="2:5" x14ac:dyDescent="0.35">
      <c r="B221" s="40"/>
      <c r="C221" s="41"/>
      <c r="D221" s="41"/>
      <c r="E221" s="2"/>
    </row>
    <row r="222" spans="2:5" x14ac:dyDescent="0.35">
      <c r="B222" s="41"/>
      <c r="C222" s="41"/>
      <c r="D222" s="41"/>
      <c r="E222" s="2"/>
    </row>
    <row r="223" spans="2:5" x14ac:dyDescent="0.35">
      <c r="B223" s="40"/>
      <c r="C223" s="41"/>
      <c r="D223" s="41"/>
      <c r="E223" s="2"/>
    </row>
    <row r="224" spans="2:5" x14ac:dyDescent="0.35">
      <c r="B224" s="40"/>
      <c r="C224" s="41"/>
      <c r="D224" s="41"/>
      <c r="E224" s="2"/>
    </row>
    <row r="225" spans="2:5" x14ac:dyDescent="0.35">
      <c r="B225" s="41"/>
      <c r="C225" s="41"/>
      <c r="D225" s="41"/>
      <c r="E225" s="2"/>
    </row>
    <row r="226" spans="2:5" x14ac:dyDescent="0.35">
      <c r="B226" s="40"/>
      <c r="C226" s="41"/>
      <c r="D226" s="41"/>
      <c r="E226" s="2"/>
    </row>
    <row r="227" spans="2:5" x14ac:dyDescent="0.35">
      <c r="B227" s="40"/>
      <c r="C227" s="41"/>
      <c r="D227" s="41"/>
      <c r="E227" s="2"/>
    </row>
    <row r="228" spans="2:5" x14ac:dyDescent="0.35">
      <c r="B228" s="40"/>
      <c r="C228" s="41"/>
      <c r="D228" s="41"/>
      <c r="E228" s="2"/>
    </row>
    <row r="229" spans="2:5" x14ac:dyDescent="0.35">
      <c r="B229" s="40"/>
      <c r="C229" s="41"/>
      <c r="D229" s="41"/>
      <c r="E229" s="2"/>
    </row>
    <row r="230" spans="2:5" x14ac:dyDescent="0.35">
      <c r="B230" s="40"/>
      <c r="C230" s="41"/>
      <c r="D230" s="41"/>
      <c r="E230" s="2"/>
    </row>
    <row r="231" spans="2:5" x14ac:dyDescent="0.35">
      <c r="B231" s="40"/>
      <c r="C231" s="41"/>
      <c r="D231" s="41"/>
      <c r="E231" s="2"/>
    </row>
    <row r="232" spans="2:5" x14ac:dyDescent="0.35">
      <c r="B232" s="40"/>
      <c r="C232" s="41"/>
      <c r="D232" s="41"/>
      <c r="E232" s="2"/>
    </row>
    <row r="233" spans="2:5" x14ac:dyDescent="0.35">
      <c r="B233" s="41"/>
      <c r="C233" s="41"/>
      <c r="D233" s="41"/>
      <c r="E233" s="2"/>
    </row>
    <row r="234" spans="2:5" x14ac:dyDescent="0.35">
      <c r="B234" s="40"/>
      <c r="C234" s="41"/>
      <c r="D234" s="41"/>
      <c r="E234" s="2"/>
    </row>
    <row r="235" spans="2:5" x14ac:dyDescent="0.35">
      <c r="B235" s="40"/>
      <c r="C235" s="41"/>
      <c r="D235" s="41"/>
      <c r="E235" s="2"/>
    </row>
    <row r="236" spans="2:5" x14ac:dyDescent="0.35">
      <c r="B236" s="40"/>
      <c r="C236" s="41"/>
      <c r="D236" s="41"/>
      <c r="E236" s="2"/>
    </row>
    <row r="237" spans="2:5" x14ac:dyDescent="0.35">
      <c r="B237" s="40"/>
      <c r="C237" s="41"/>
      <c r="D237" s="41"/>
      <c r="E237" s="2"/>
    </row>
    <row r="238" spans="2:5" x14ac:dyDescent="0.35">
      <c r="B238" s="40"/>
      <c r="C238" s="41"/>
      <c r="D238" s="41"/>
      <c r="E238" s="2"/>
    </row>
    <row r="239" spans="2:5" x14ac:dyDescent="0.35">
      <c r="B239" s="40"/>
      <c r="C239" s="41"/>
      <c r="D239" s="41"/>
      <c r="E239" s="2"/>
    </row>
    <row r="240" spans="2:5" x14ac:dyDescent="0.35">
      <c r="B240" s="40"/>
      <c r="C240" s="41"/>
      <c r="D240" s="41"/>
      <c r="E240" s="2"/>
    </row>
    <row r="241" spans="2:5" x14ac:dyDescent="0.35">
      <c r="B241" s="40"/>
      <c r="C241" s="41"/>
      <c r="D241" s="41"/>
      <c r="E241" s="2"/>
    </row>
    <row r="242" spans="2:5" x14ac:dyDescent="0.35">
      <c r="B242" s="41"/>
      <c r="C242" s="41"/>
      <c r="D242" s="41"/>
      <c r="E242" s="2"/>
    </row>
    <row r="243" spans="2:5" x14ac:dyDescent="0.35">
      <c r="B243" s="40"/>
      <c r="C243" s="41"/>
      <c r="D243" s="41"/>
      <c r="E243" s="2"/>
    </row>
    <row r="244" spans="2:5" x14ac:dyDescent="0.35">
      <c r="B244" s="40"/>
      <c r="C244" s="41"/>
      <c r="D244" s="41"/>
      <c r="E244" s="2"/>
    </row>
    <row r="245" spans="2:5" x14ac:dyDescent="0.35">
      <c r="B245" s="40"/>
      <c r="C245" s="41"/>
      <c r="D245" s="41"/>
      <c r="E245" s="2"/>
    </row>
    <row r="246" spans="2:5" x14ac:dyDescent="0.35">
      <c r="B246" s="41"/>
      <c r="C246" s="41"/>
      <c r="D246" s="41"/>
      <c r="E246" s="2"/>
    </row>
    <row r="247" spans="2:5" x14ac:dyDescent="0.35">
      <c r="B247" s="40"/>
      <c r="C247" s="41"/>
      <c r="D247" s="41"/>
      <c r="E247" s="2"/>
    </row>
    <row r="248" spans="2:5" x14ac:dyDescent="0.35">
      <c r="B248" s="41"/>
      <c r="C248" s="41"/>
      <c r="D248" s="41"/>
      <c r="E248" s="2"/>
    </row>
    <row r="249" spans="2:5" x14ac:dyDescent="0.35">
      <c r="B249" s="41"/>
      <c r="C249" s="41"/>
      <c r="D249" s="41"/>
      <c r="E249" s="2"/>
    </row>
    <row r="250" spans="2:5" x14ac:dyDescent="0.35">
      <c r="B250" s="40"/>
      <c r="C250" s="41"/>
      <c r="D250" s="41"/>
      <c r="E250" s="2"/>
    </row>
    <row r="251" spans="2:5" x14ac:dyDescent="0.35">
      <c r="B251" s="40"/>
      <c r="C251" s="41"/>
      <c r="D251" s="41"/>
      <c r="E251" s="2"/>
    </row>
    <row r="252" spans="2:5" x14ac:dyDescent="0.35">
      <c r="B252" s="40"/>
      <c r="C252" s="41"/>
      <c r="D252" s="41"/>
      <c r="E252" s="2"/>
    </row>
    <row r="253" spans="2:5" x14ac:dyDescent="0.35">
      <c r="B253" s="40"/>
      <c r="C253" s="41"/>
      <c r="D253" s="41"/>
      <c r="E253" s="2"/>
    </row>
    <row r="254" spans="2:5" x14ac:dyDescent="0.35">
      <c r="B254" s="41"/>
      <c r="C254" s="41"/>
      <c r="D254" s="41"/>
      <c r="E254" s="2"/>
    </row>
    <row r="255" spans="2:5" x14ac:dyDescent="0.35">
      <c r="B255" s="40"/>
      <c r="C255" s="41"/>
      <c r="D255" s="41"/>
      <c r="E255" s="2"/>
    </row>
    <row r="256" spans="2:5" x14ac:dyDescent="0.35">
      <c r="B256" s="41"/>
      <c r="C256" s="41"/>
      <c r="D256" s="41"/>
      <c r="E256" s="2"/>
    </row>
    <row r="257" spans="2:5" x14ac:dyDescent="0.35">
      <c r="B257" s="40"/>
      <c r="C257" s="41"/>
      <c r="D257" s="41"/>
      <c r="E257" s="2"/>
    </row>
    <row r="258" spans="2:5" x14ac:dyDescent="0.35">
      <c r="B258" s="40"/>
      <c r="C258" s="41"/>
      <c r="D258" s="41"/>
      <c r="E258" s="2"/>
    </row>
    <row r="259" spans="2:5" x14ac:dyDescent="0.35">
      <c r="B259" s="40"/>
      <c r="C259" s="41"/>
      <c r="D259" s="41"/>
      <c r="E259" s="2"/>
    </row>
    <row r="260" spans="2:5" x14ac:dyDescent="0.35">
      <c r="B260" s="41"/>
      <c r="C260" s="41"/>
      <c r="D260" s="41"/>
      <c r="E260" s="2"/>
    </row>
    <row r="261" spans="2:5" x14ac:dyDescent="0.35">
      <c r="B261" s="40"/>
      <c r="C261" s="41"/>
      <c r="D261" s="41"/>
      <c r="E261" s="2"/>
    </row>
    <row r="262" spans="2:5" x14ac:dyDescent="0.35">
      <c r="B262" s="40"/>
      <c r="C262" s="41"/>
      <c r="D262" s="41"/>
      <c r="E262" s="2"/>
    </row>
    <row r="263" spans="2:5" x14ac:dyDescent="0.35">
      <c r="B263" s="40"/>
      <c r="C263" s="41"/>
      <c r="D263" s="41"/>
      <c r="E263" s="2"/>
    </row>
    <row r="264" spans="2:5" x14ac:dyDescent="0.35">
      <c r="B264" s="41"/>
      <c r="C264" s="41"/>
      <c r="D264" s="41"/>
      <c r="E264" s="2"/>
    </row>
    <row r="265" spans="2:5" x14ac:dyDescent="0.35">
      <c r="B265" s="41"/>
      <c r="C265" s="41"/>
      <c r="D265" s="41"/>
      <c r="E265" s="2"/>
    </row>
    <row r="266" spans="2:5" x14ac:dyDescent="0.35">
      <c r="B266" s="40"/>
      <c r="C266" s="41"/>
      <c r="D266" s="41"/>
      <c r="E266" s="2"/>
    </row>
    <row r="267" spans="2:5" x14ac:dyDescent="0.35">
      <c r="B267" s="40"/>
      <c r="C267" s="41"/>
      <c r="D267" s="41"/>
      <c r="E267" s="2"/>
    </row>
    <row r="268" spans="2:5" x14ac:dyDescent="0.35">
      <c r="B268" s="40"/>
      <c r="C268" s="41"/>
      <c r="D268" s="41"/>
      <c r="E268" s="2"/>
    </row>
    <row r="269" spans="2:5" x14ac:dyDescent="0.35">
      <c r="B269" s="40"/>
      <c r="C269" s="41"/>
      <c r="D269" s="41"/>
      <c r="E269" s="2"/>
    </row>
    <row r="270" spans="2:5" x14ac:dyDescent="0.35">
      <c r="B270" s="40"/>
      <c r="C270" s="41"/>
      <c r="D270" s="41"/>
      <c r="E270" s="2"/>
    </row>
    <row r="271" spans="2:5" x14ac:dyDescent="0.35">
      <c r="B271" s="40"/>
      <c r="C271" s="41"/>
      <c r="D271" s="41"/>
      <c r="E271" s="2"/>
    </row>
    <row r="272" spans="2:5" x14ac:dyDescent="0.35">
      <c r="B272" s="41"/>
      <c r="C272" s="41"/>
      <c r="D272" s="41"/>
      <c r="E272" s="2"/>
    </row>
    <row r="273" spans="2:5" x14ac:dyDescent="0.35">
      <c r="B273" s="40"/>
      <c r="C273" s="41"/>
      <c r="D273" s="41"/>
      <c r="E273" s="2"/>
    </row>
    <row r="274" spans="2:5" x14ac:dyDescent="0.35">
      <c r="B274" s="40"/>
      <c r="C274" s="41"/>
      <c r="D274" s="41"/>
      <c r="E274" s="2"/>
    </row>
    <row r="275" spans="2:5" x14ac:dyDescent="0.35">
      <c r="B275" s="41"/>
      <c r="C275" s="41"/>
      <c r="D275" s="41"/>
      <c r="E275" s="2"/>
    </row>
    <row r="276" spans="2:5" x14ac:dyDescent="0.35">
      <c r="B276" s="41"/>
      <c r="C276" s="41"/>
      <c r="D276" s="41"/>
      <c r="E276" s="2"/>
    </row>
    <row r="277" spans="2:5" x14ac:dyDescent="0.35">
      <c r="B277" s="40"/>
      <c r="C277" s="41"/>
      <c r="D277" s="41"/>
      <c r="E277" s="2"/>
    </row>
    <row r="278" spans="2:5" x14ac:dyDescent="0.35">
      <c r="B278" s="41"/>
      <c r="C278" s="41"/>
      <c r="D278" s="41"/>
      <c r="E278" s="2"/>
    </row>
    <row r="279" spans="2:5" x14ac:dyDescent="0.35">
      <c r="B279" s="41"/>
      <c r="C279" s="41"/>
      <c r="D279" s="41"/>
      <c r="E279" s="2"/>
    </row>
    <row r="280" spans="2:5" x14ac:dyDescent="0.35">
      <c r="B280" s="41"/>
      <c r="C280" s="41"/>
      <c r="D280" s="41"/>
      <c r="E280" s="2"/>
    </row>
    <row r="281" spans="2:5" x14ac:dyDescent="0.35">
      <c r="B281" s="41"/>
      <c r="C281" s="41"/>
      <c r="D281" s="41"/>
      <c r="E281" s="2"/>
    </row>
    <row r="282" spans="2:5" x14ac:dyDescent="0.35">
      <c r="B282" s="40"/>
      <c r="C282" s="41"/>
      <c r="D282" s="41"/>
      <c r="E282" s="2"/>
    </row>
    <row r="283" spans="2:5" x14ac:dyDescent="0.35">
      <c r="B283" s="40"/>
      <c r="C283" s="41"/>
      <c r="D283" s="41"/>
      <c r="E283" s="2"/>
    </row>
    <row r="284" spans="2:5" x14ac:dyDescent="0.35">
      <c r="B284" s="41"/>
      <c r="C284" s="41"/>
      <c r="D284" s="41"/>
      <c r="E284" s="2"/>
    </row>
    <row r="285" spans="2:5" x14ac:dyDescent="0.35">
      <c r="B285" s="41"/>
      <c r="C285" s="41"/>
      <c r="D285" s="41"/>
      <c r="E285" s="2"/>
    </row>
    <row r="286" spans="2:5" x14ac:dyDescent="0.35">
      <c r="B286" s="41"/>
      <c r="C286" s="41"/>
      <c r="D286" s="41"/>
      <c r="E286" s="2"/>
    </row>
    <row r="287" spans="2:5" x14ac:dyDescent="0.35">
      <c r="B287" s="40"/>
      <c r="C287" s="41"/>
      <c r="D287" s="41"/>
      <c r="E287" s="2"/>
    </row>
    <row r="288" spans="2:5" x14ac:dyDescent="0.35">
      <c r="B288" s="41"/>
      <c r="C288" s="41"/>
      <c r="D288" s="41"/>
      <c r="E288" s="2"/>
    </row>
    <row r="289" spans="2:5" x14ac:dyDescent="0.35">
      <c r="B289" s="40"/>
      <c r="C289" s="41"/>
      <c r="D289" s="41"/>
      <c r="E289" s="2"/>
    </row>
    <row r="290" spans="2:5" x14ac:dyDescent="0.35">
      <c r="B290" s="41"/>
      <c r="C290" s="41"/>
      <c r="D290" s="41"/>
      <c r="E290" s="2"/>
    </row>
    <row r="291" spans="2:5" x14ac:dyDescent="0.35">
      <c r="B291" s="40"/>
      <c r="C291" s="41"/>
      <c r="D291" s="41"/>
      <c r="E291" s="2"/>
    </row>
    <row r="292" spans="2:5" x14ac:dyDescent="0.35">
      <c r="B292" s="41"/>
      <c r="C292" s="41"/>
      <c r="D292" s="41"/>
      <c r="E292" s="2"/>
    </row>
    <row r="293" spans="2:5" x14ac:dyDescent="0.35">
      <c r="B293" s="40"/>
      <c r="C293" s="41"/>
      <c r="D293" s="41"/>
      <c r="E293" s="2"/>
    </row>
    <row r="294" spans="2:5" x14ac:dyDescent="0.35">
      <c r="B294" s="40"/>
      <c r="C294" s="41"/>
      <c r="D294" s="41"/>
      <c r="E294" s="2"/>
    </row>
    <row r="295" spans="2:5" x14ac:dyDescent="0.35">
      <c r="B295" s="41"/>
      <c r="C295" s="41"/>
      <c r="D295" s="41"/>
      <c r="E295" s="2"/>
    </row>
    <row r="296" spans="2:5" x14ac:dyDescent="0.35">
      <c r="B296" s="41"/>
      <c r="C296" s="41"/>
      <c r="D296" s="41"/>
      <c r="E296" s="2"/>
    </row>
    <row r="297" spans="2:5" x14ac:dyDescent="0.35">
      <c r="B297" s="40"/>
      <c r="C297" s="41"/>
      <c r="D297" s="41"/>
      <c r="E297" s="2"/>
    </row>
    <row r="298" spans="2:5" x14ac:dyDescent="0.35">
      <c r="B298" s="40"/>
      <c r="C298" s="41"/>
      <c r="D298" s="41"/>
      <c r="E298" s="2"/>
    </row>
    <row r="299" spans="2:5" x14ac:dyDescent="0.35">
      <c r="B299" s="40"/>
      <c r="C299" s="41"/>
      <c r="D299" s="41"/>
      <c r="E299" s="2"/>
    </row>
    <row r="300" spans="2:5" x14ac:dyDescent="0.35">
      <c r="B300" s="40"/>
      <c r="C300" s="41"/>
      <c r="D300" s="41"/>
      <c r="E300" s="2"/>
    </row>
    <row r="301" spans="2:5" x14ac:dyDescent="0.35">
      <c r="B301" s="40"/>
      <c r="C301" s="41"/>
      <c r="D301" s="41"/>
      <c r="E301" s="2"/>
    </row>
    <row r="302" spans="2:5" x14ac:dyDescent="0.35">
      <c r="B302" s="41"/>
      <c r="C302" s="41"/>
      <c r="D302" s="41"/>
      <c r="E302" s="2"/>
    </row>
    <row r="303" spans="2:5" x14ac:dyDescent="0.35">
      <c r="B303" s="40"/>
      <c r="C303" s="41"/>
      <c r="D303" s="41"/>
      <c r="E303" s="2"/>
    </row>
    <row r="304" spans="2:5" x14ac:dyDescent="0.35">
      <c r="B304" s="41"/>
      <c r="C304" s="41"/>
      <c r="D304" s="41"/>
      <c r="E304" s="2"/>
    </row>
    <row r="305" spans="2:5" x14ac:dyDescent="0.35">
      <c r="B305" s="40"/>
      <c r="C305" s="41"/>
      <c r="D305" s="41"/>
      <c r="E305" s="2"/>
    </row>
    <row r="306" spans="2:5" x14ac:dyDescent="0.35">
      <c r="B306" s="40"/>
      <c r="C306" s="41"/>
      <c r="D306" s="41"/>
      <c r="E306" s="2"/>
    </row>
    <row r="307" spans="2:5" x14ac:dyDescent="0.35">
      <c r="B307" s="40"/>
      <c r="C307" s="41"/>
      <c r="D307" s="41"/>
      <c r="E307" s="2"/>
    </row>
    <row r="308" spans="2:5" x14ac:dyDescent="0.35">
      <c r="B308" s="40"/>
      <c r="C308" s="41"/>
      <c r="D308" s="41"/>
      <c r="E308" s="2"/>
    </row>
    <row r="309" spans="2:5" x14ac:dyDescent="0.35">
      <c r="B309" s="41"/>
      <c r="C309" s="41"/>
      <c r="D309" s="41"/>
      <c r="E309" s="2"/>
    </row>
    <row r="310" spans="2:5" x14ac:dyDescent="0.35">
      <c r="B310" s="40"/>
      <c r="C310" s="41"/>
      <c r="D310" s="41"/>
      <c r="E310" s="2"/>
    </row>
    <row r="311" spans="2:5" x14ac:dyDescent="0.35">
      <c r="B311" s="40"/>
      <c r="C311" s="41"/>
      <c r="D311" s="41"/>
      <c r="E311" s="2"/>
    </row>
    <row r="312" spans="2:5" x14ac:dyDescent="0.35">
      <c r="B312" s="40"/>
      <c r="C312" s="41"/>
      <c r="D312" s="41"/>
      <c r="E312" s="2"/>
    </row>
    <row r="313" spans="2:5" x14ac:dyDescent="0.35">
      <c r="B313" s="41"/>
      <c r="C313" s="41"/>
      <c r="D313" s="41"/>
      <c r="E313" s="2"/>
    </row>
    <row r="314" spans="2:5" x14ac:dyDescent="0.35">
      <c r="B314" s="40"/>
      <c r="C314" s="41"/>
      <c r="D314" s="41"/>
      <c r="E314" s="2"/>
    </row>
    <row r="315" spans="2:5" x14ac:dyDescent="0.35">
      <c r="B315" s="41"/>
      <c r="C315" s="41"/>
      <c r="D315" s="41"/>
      <c r="E315" s="2"/>
    </row>
    <row r="316" spans="2:5" x14ac:dyDescent="0.35">
      <c r="B316" s="41"/>
      <c r="C316" s="41"/>
      <c r="D316" s="41"/>
      <c r="E316" s="2"/>
    </row>
    <row r="317" spans="2:5" x14ac:dyDescent="0.35">
      <c r="B317" s="41"/>
      <c r="C317" s="41"/>
      <c r="D317" s="41"/>
      <c r="E317" s="2"/>
    </row>
    <row r="318" spans="2:5" x14ac:dyDescent="0.35">
      <c r="B318" s="41"/>
      <c r="C318" s="41"/>
      <c r="D318" s="41"/>
      <c r="E318" s="2"/>
    </row>
    <row r="319" spans="2:5" x14ac:dyDescent="0.35">
      <c r="B319" s="40"/>
      <c r="C319" s="41"/>
      <c r="D319" s="41"/>
      <c r="E319" s="2"/>
    </row>
    <row r="320" spans="2:5" x14ac:dyDescent="0.35">
      <c r="B320" s="41"/>
      <c r="C320" s="41"/>
      <c r="D320" s="41"/>
      <c r="E320" s="2"/>
    </row>
    <row r="321" spans="2:5" x14ac:dyDescent="0.35">
      <c r="B321" s="40"/>
      <c r="C321" s="41"/>
      <c r="D321" s="41"/>
      <c r="E321" s="2"/>
    </row>
    <row r="322" spans="2:5" x14ac:dyDescent="0.35">
      <c r="B322" s="40"/>
      <c r="C322" s="41"/>
      <c r="D322" s="41"/>
      <c r="E322" s="2"/>
    </row>
    <row r="323" spans="2:5" x14ac:dyDescent="0.35">
      <c r="B323" s="40"/>
      <c r="C323" s="41"/>
      <c r="D323" s="41"/>
      <c r="E323" s="2"/>
    </row>
    <row r="324" spans="2:5" x14ac:dyDescent="0.35">
      <c r="B324" s="40"/>
      <c r="C324" s="41"/>
      <c r="D324" s="41"/>
      <c r="E324" s="2"/>
    </row>
    <row r="325" spans="2:5" x14ac:dyDescent="0.35">
      <c r="B325" s="40"/>
      <c r="C325" s="41"/>
      <c r="D325" s="41"/>
      <c r="E325" s="2"/>
    </row>
    <row r="326" spans="2:5" x14ac:dyDescent="0.35">
      <c r="B326" s="40"/>
      <c r="C326" s="41"/>
      <c r="D326" s="41"/>
      <c r="E326" s="2"/>
    </row>
    <row r="327" spans="2:5" x14ac:dyDescent="0.35">
      <c r="B327" s="41"/>
      <c r="C327" s="41"/>
      <c r="D327" s="41"/>
      <c r="E327" s="2"/>
    </row>
    <row r="328" spans="2:5" x14ac:dyDescent="0.35">
      <c r="B328" s="41"/>
      <c r="C328" s="41"/>
      <c r="D328" s="41"/>
      <c r="E328" s="2"/>
    </row>
    <row r="329" spans="2:5" x14ac:dyDescent="0.35">
      <c r="B329" s="40"/>
      <c r="C329" s="41"/>
      <c r="D329" s="41"/>
      <c r="E329" s="2"/>
    </row>
    <row r="330" spans="2:5" x14ac:dyDescent="0.35">
      <c r="B330" s="40"/>
      <c r="C330" s="41"/>
      <c r="D330" s="41"/>
      <c r="E330" s="2"/>
    </row>
    <row r="331" spans="2:5" x14ac:dyDescent="0.35">
      <c r="B331" s="40"/>
      <c r="C331" s="41"/>
      <c r="D331" s="41"/>
      <c r="E331" s="2"/>
    </row>
    <row r="332" spans="2:5" x14ac:dyDescent="0.35">
      <c r="B332" s="40"/>
      <c r="C332" s="41"/>
      <c r="D332" s="41"/>
      <c r="E332" s="2"/>
    </row>
    <row r="333" spans="2:5" x14ac:dyDescent="0.35">
      <c r="B333" s="40"/>
      <c r="C333" s="41"/>
      <c r="D333" s="41"/>
      <c r="E333" s="2"/>
    </row>
    <row r="334" spans="2:5" x14ac:dyDescent="0.35">
      <c r="B334" s="40"/>
      <c r="C334" s="41"/>
      <c r="D334" s="41"/>
      <c r="E334" s="2"/>
    </row>
    <row r="335" spans="2:5" x14ac:dyDescent="0.35">
      <c r="B335" s="40"/>
      <c r="C335" s="41"/>
      <c r="D335" s="41"/>
      <c r="E335" s="2"/>
    </row>
    <row r="336" spans="2:5" x14ac:dyDescent="0.35">
      <c r="B336" s="40"/>
      <c r="C336" s="41"/>
      <c r="D336" s="41"/>
      <c r="E336" s="2"/>
    </row>
    <row r="337" spans="2:5" x14ac:dyDescent="0.35">
      <c r="B337" s="40"/>
      <c r="C337" s="41"/>
      <c r="D337" s="41"/>
      <c r="E337" s="2"/>
    </row>
    <row r="338" spans="2:5" x14ac:dyDescent="0.35">
      <c r="B338" s="41"/>
      <c r="C338" s="41"/>
      <c r="D338" s="41"/>
      <c r="E338" s="2"/>
    </row>
    <row r="339" spans="2:5" x14ac:dyDescent="0.35">
      <c r="B339" s="40"/>
      <c r="C339" s="41"/>
      <c r="D339" s="41"/>
      <c r="E339" s="2"/>
    </row>
    <row r="340" spans="2:5" x14ac:dyDescent="0.35">
      <c r="B340" s="40"/>
      <c r="C340" s="41"/>
      <c r="D340" s="41"/>
      <c r="E340" s="2"/>
    </row>
    <row r="341" spans="2:5" x14ac:dyDescent="0.35">
      <c r="B341" s="40"/>
      <c r="C341" s="41"/>
      <c r="D341" s="41"/>
      <c r="E341" s="2"/>
    </row>
    <row r="342" spans="2:5" x14ac:dyDescent="0.35">
      <c r="B342" s="41"/>
      <c r="C342" s="41"/>
      <c r="D342" s="41"/>
      <c r="E342" s="2"/>
    </row>
    <row r="343" spans="2:5" x14ac:dyDescent="0.35">
      <c r="B343" s="40"/>
      <c r="C343" s="41"/>
      <c r="D343" s="41"/>
      <c r="E343" s="2"/>
    </row>
    <row r="344" spans="2:5" x14ac:dyDescent="0.35">
      <c r="B344" s="40"/>
      <c r="C344" s="41"/>
      <c r="D344" s="41"/>
      <c r="E344" s="2"/>
    </row>
    <row r="345" spans="2:5" x14ac:dyDescent="0.35">
      <c r="B345" s="40"/>
      <c r="C345" s="41"/>
      <c r="D345" s="41"/>
      <c r="E345" s="2"/>
    </row>
    <row r="346" spans="2:5" x14ac:dyDescent="0.35">
      <c r="B346" s="40"/>
      <c r="C346" s="41"/>
      <c r="D346" s="41"/>
      <c r="E346" s="2"/>
    </row>
    <row r="347" spans="2:5" x14ac:dyDescent="0.35">
      <c r="B347" s="40"/>
      <c r="C347" s="41"/>
      <c r="D347" s="41"/>
      <c r="E347" s="2"/>
    </row>
    <row r="348" spans="2:5" x14ac:dyDescent="0.35">
      <c r="B348" s="40"/>
      <c r="C348" s="41"/>
      <c r="D348" s="41"/>
      <c r="E348" s="2"/>
    </row>
    <row r="349" spans="2:5" x14ac:dyDescent="0.35">
      <c r="B349" s="41"/>
      <c r="C349" s="41"/>
      <c r="D349" s="41"/>
      <c r="E349" s="2"/>
    </row>
    <row r="350" spans="2:5" x14ac:dyDescent="0.35">
      <c r="B350" s="40"/>
      <c r="C350" s="41"/>
      <c r="D350" s="41"/>
      <c r="E350" s="2"/>
    </row>
    <row r="351" spans="2:5" x14ac:dyDescent="0.35">
      <c r="B351" s="40"/>
      <c r="C351" s="41"/>
      <c r="D351" s="41"/>
      <c r="E351" s="2"/>
    </row>
    <row r="352" spans="2:5" x14ac:dyDescent="0.35">
      <c r="B352" s="40"/>
      <c r="C352" s="41"/>
      <c r="D352" s="41"/>
      <c r="E352" s="2"/>
    </row>
    <row r="353" spans="2:5" x14ac:dyDescent="0.35">
      <c r="B353" s="40"/>
      <c r="C353" s="41"/>
      <c r="D353" s="41"/>
      <c r="E353" s="2"/>
    </row>
    <row r="354" spans="2:5" x14ac:dyDescent="0.35">
      <c r="B354" s="40"/>
      <c r="C354" s="41"/>
      <c r="D354" s="41"/>
      <c r="E354" s="2"/>
    </row>
    <row r="355" spans="2:5" x14ac:dyDescent="0.35">
      <c r="B355" s="40"/>
      <c r="C355" s="41"/>
      <c r="D355" s="41"/>
      <c r="E355" s="2"/>
    </row>
    <row r="356" spans="2:5" x14ac:dyDescent="0.35">
      <c r="B356" s="40"/>
      <c r="C356" s="41"/>
      <c r="D356" s="41"/>
      <c r="E356" s="2"/>
    </row>
    <row r="357" spans="2:5" x14ac:dyDescent="0.35">
      <c r="B357" s="40"/>
      <c r="C357" s="41"/>
      <c r="D357" s="41"/>
      <c r="E357" s="2"/>
    </row>
    <row r="358" spans="2:5" x14ac:dyDescent="0.35">
      <c r="B358" s="40"/>
      <c r="C358" s="41"/>
      <c r="D358" s="41"/>
      <c r="E358" s="2"/>
    </row>
    <row r="359" spans="2:5" x14ac:dyDescent="0.35">
      <c r="B359" s="40"/>
      <c r="C359" s="41"/>
      <c r="D359" s="41"/>
      <c r="E359" s="2"/>
    </row>
    <row r="360" spans="2:5" x14ac:dyDescent="0.35">
      <c r="B360" s="40"/>
      <c r="C360" s="41"/>
      <c r="D360" s="41"/>
      <c r="E360" s="2"/>
    </row>
    <row r="361" spans="2:5" x14ac:dyDescent="0.35">
      <c r="B361" s="41"/>
      <c r="C361" s="41"/>
      <c r="D361" s="41"/>
      <c r="E361" s="2"/>
    </row>
    <row r="362" spans="2:5" x14ac:dyDescent="0.35">
      <c r="B362" s="41"/>
      <c r="C362" s="41"/>
      <c r="D362" s="41"/>
      <c r="E362" s="2"/>
    </row>
    <row r="363" spans="2:5" x14ac:dyDescent="0.35">
      <c r="B363" s="40"/>
      <c r="C363" s="41"/>
      <c r="D363" s="41"/>
      <c r="E363" s="2"/>
    </row>
    <row r="364" spans="2:5" x14ac:dyDescent="0.35">
      <c r="B364" s="40"/>
      <c r="C364" s="41"/>
      <c r="D364" s="41"/>
      <c r="E364" s="2"/>
    </row>
    <row r="365" spans="2:5" x14ac:dyDescent="0.35">
      <c r="B365" s="40"/>
      <c r="C365" s="41"/>
      <c r="D365" s="41"/>
      <c r="E365" s="2"/>
    </row>
    <row r="366" spans="2:5" x14ac:dyDescent="0.35">
      <c r="B366" s="40"/>
      <c r="C366" s="41"/>
      <c r="D366" s="41"/>
      <c r="E366" s="2"/>
    </row>
    <row r="367" spans="2:5" x14ac:dyDescent="0.35">
      <c r="B367" s="40"/>
      <c r="C367" s="41"/>
      <c r="D367" s="41"/>
      <c r="E367" s="2"/>
    </row>
    <row r="368" spans="2:5" x14ac:dyDescent="0.35">
      <c r="B368" s="40"/>
      <c r="C368" s="41"/>
      <c r="D368" s="41"/>
      <c r="E368" s="2"/>
    </row>
    <row r="369" spans="2:5" x14ac:dyDescent="0.35">
      <c r="B369" s="40"/>
      <c r="C369" s="41"/>
      <c r="D369" s="41"/>
      <c r="E369" s="2"/>
    </row>
    <row r="370" spans="2:5" x14ac:dyDescent="0.35">
      <c r="B370" s="40"/>
      <c r="C370" s="41"/>
      <c r="D370" s="41"/>
      <c r="E370" s="2"/>
    </row>
    <row r="371" spans="2:5" x14ac:dyDescent="0.35">
      <c r="B371" s="41"/>
      <c r="C371" s="41"/>
      <c r="D371" s="41"/>
      <c r="E371" s="2"/>
    </row>
    <row r="372" spans="2:5" x14ac:dyDescent="0.35">
      <c r="B372" s="40"/>
      <c r="C372" s="41"/>
      <c r="D372" s="41"/>
      <c r="E372" s="2"/>
    </row>
    <row r="373" spans="2:5" x14ac:dyDescent="0.35">
      <c r="B373" s="40"/>
      <c r="C373" s="41"/>
      <c r="D373" s="41"/>
      <c r="E373" s="2"/>
    </row>
    <row r="374" spans="2:5" x14ac:dyDescent="0.35">
      <c r="B374" s="40"/>
      <c r="C374" s="41"/>
      <c r="D374" s="41"/>
      <c r="E374" s="2"/>
    </row>
    <row r="375" spans="2:5" x14ac:dyDescent="0.35">
      <c r="B375" s="40"/>
      <c r="C375" s="41"/>
      <c r="D375" s="41"/>
      <c r="E375" s="2"/>
    </row>
    <row r="376" spans="2:5" x14ac:dyDescent="0.35">
      <c r="B376" s="41"/>
      <c r="C376" s="41"/>
      <c r="D376" s="41"/>
      <c r="E376" s="2"/>
    </row>
    <row r="377" spans="2:5" x14ac:dyDescent="0.35">
      <c r="B377" s="40"/>
      <c r="C377" s="41"/>
      <c r="D377" s="41"/>
      <c r="E377" s="2"/>
    </row>
    <row r="378" spans="2:5" x14ac:dyDescent="0.35">
      <c r="B378" s="40"/>
      <c r="C378" s="41"/>
      <c r="D378" s="41"/>
      <c r="E378" s="2"/>
    </row>
    <row r="379" spans="2:5" x14ac:dyDescent="0.35">
      <c r="B379" s="40"/>
      <c r="C379" s="41"/>
      <c r="D379" s="41"/>
      <c r="E379" s="2"/>
    </row>
    <row r="380" spans="2:5" x14ac:dyDescent="0.35">
      <c r="B380" s="41"/>
      <c r="C380" s="41"/>
      <c r="D380" s="41"/>
      <c r="E380" s="2"/>
    </row>
    <row r="381" spans="2:5" x14ac:dyDescent="0.35">
      <c r="B381" s="41"/>
      <c r="C381" s="41"/>
      <c r="D381" s="41"/>
      <c r="E381" s="2"/>
    </row>
  </sheetData>
  <phoneticPr fontId="3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3" name="Button 2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6350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F5824-3E93-4486-BD4E-8617BBCAC078}">
  <sheetPr codeName="Sheet36">
    <tabColor rgb="FF0070C0"/>
  </sheetPr>
  <dimension ref="A1:I24"/>
  <sheetViews>
    <sheetView workbookViewId="0">
      <pane ySplit="2" topLeftCell="A3" activePane="bottomLeft" state="frozen"/>
      <selection pane="bottomLeft" activeCell="E2" sqref="E2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Employee #1</v>
      </c>
      <c r="B2" s="115" t="str">
        <f>IFERROR(_xlfn.XLOOKUP(A2,'QA WK2'!A:A,'QA WK2'!I:I),"")</f>
        <v/>
      </c>
      <c r="C2" s="94" t="str">
        <f>IFERROR(_xlfn.XLOOKUP(A2,'ME0025 WK2'!A:A,'ME0025 WK2'!J:J),"")</f>
        <v/>
      </c>
      <c r="D2" s="120" t="str">
        <f>IFERROR(C2/$C$23,"")</f>
        <v/>
      </c>
      <c r="E2" s="116" t="str">
        <f>IFERROR(_xlfn.XLOOKUP(A2,'ME0025 WK2'!A:A,'ME0025 WK2'!F:F),"")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Employee #2</v>
      </c>
      <c r="B3" s="115" t="str">
        <f>IFERROR(_xlfn.XLOOKUP(A3,'QA WK2'!A:A,'QA WK2'!I:I),"")</f>
        <v/>
      </c>
      <c r="C3" s="94" t="str">
        <f>IFERROR(_xlfn.XLOOKUP(A3,'ME0025 WK2'!A:A,'ME0025 WK2'!J:J),"")</f>
        <v/>
      </c>
      <c r="D3" s="120" t="str">
        <f t="shared" ref="D3:D22" si="1">IFERROR(C3/$C$23,"")</f>
        <v/>
      </c>
      <c r="E3" s="116" t="str">
        <f>IFERROR(_xlfn.XLOOKUP(A3,'ME0025 WK2'!A:A,'ME0025 WK2'!F:F),"")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Employee #3</v>
      </c>
      <c r="B4" s="115" t="str">
        <f>IFERROR(_xlfn.XLOOKUP(A4,'QA WK2'!A:A,'QA WK2'!I:I),"")</f>
        <v/>
      </c>
      <c r="C4" s="94" t="str">
        <f>IFERROR(_xlfn.XLOOKUP(A4,'ME0025 WK2'!A:A,'ME0025 WK2'!J:J),"")</f>
        <v/>
      </c>
      <c r="D4" s="120" t="str">
        <f t="shared" si="1"/>
        <v/>
      </c>
      <c r="E4" s="116" t="str">
        <f>IFERROR(_xlfn.XLOOKUP(A4,'ME0025 WK2'!A:A,'ME0025 WK2'!F:F),"")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Employee #4</v>
      </c>
      <c r="B5" s="115" t="str">
        <f>IFERROR(_xlfn.XLOOKUP(A5,'QA WK2'!A:A,'QA WK2'!I:I),"")</f>
        <v/>
      </c>
      <c r="C5" s="94" t="str">
        <f>IFERROR(_xlfn.XLOOKUP(A5,'ME0025 WK2'!A:A,'ME0025 WK2'!J:J),"")</f>
        <v/>
      </c>
      <c r="D5" s="120" t="str">
        <f t="shared" si="1"/>
        <v/>
      </c>
      <c r="E5" s="116" t="str">
        <f>IFERROR(_xlfn.XLOOKUP(A5,'ME0025 WK2'!A:A,'ME0025 WK2'!F:F),"")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Employee #5</v>
      </c>
      <c r="B6" s="115" t="str">
        <f>IFERROR(_xlfn.XLOOKUP(A6,'QA WK2'!A:A,'QA WK2'!I:I),"")</f>
        <v/>
      </c>
      <c r="C6" s="94" t="str">
        <f>IFERROR(_xlfn.XLOOKUP(A6,'ME0025 WK2'!A:A,'ME0025 WK2'!J:J),"")</f>
        <v/>
      </c>
      <c r="D6" s="120" t="str">
        <f t="shared" si="1"/>
        <v/>
      </c>
      <c r="E6" s="116" t="str">
        <f>IFERROR(_xlfn.XLOOKUP(A6,'ME0025 WK2'!A:A,'ME0025 WK2'!F:F),"")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Employee #6</v>
      </c>
      <c r="B7" s="115" t="str">
        <f>IFERROR(_xlfn.XLOOKUP(A7,'QA WK2'!A:A,'QA WK2'!I:I),"")</f>
        <v/>
      </c>
      <c r="C7" s="94" t="str">
        <f>IFERROR(_xlfn.XLOOKUP(A7,'ME0025 WK2'!A:A,'ME0025 WK2'!J:J),"")</f>
        <v/>
      </c>
      <c r="D7" s="120" t="str">
        <f t="shared" si="1"/>
        <v/>
      </c>
      <c r="E7" s="116" t="str">
        <f>IFERROR(_xlfn.XLOOKUP(A7,'ME0025 WK2'!A:A,'ME0025 WK2'!F:F),"")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Employee #7</v>
      </c>
      <c r="B8" s="115" t="str">
        <f>IFERROR(_xlfn.XLOOKUP(A8,'QA WK2'!A:A,'QA WK2'!I:I),"")</f>
        <v/>
      </c>
      <c r="C8" s="94" t="str">
        <f>IFERROR(_xlfn.XLOOKUP(A8,'ME0025 WK2'!A:A,'ME0025 WK2'!J:J),"")</f>
        <v/>
      </c>
      <c r="D8" s="120" t="str">
        <f t="shared" si="1"/>
        <v/>
      </c>
      <c r="E8" s="116" t="str">
        <f>IFERROR(_xlfn.XLOOKUP(A8,'ME0025 WK2'!A:A,'ME0025 WK2'!F:F),"")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Employee #8</v>
      </c>
      <c r="B9" s="115" t="str">
        <f>IFERROR(_xlfn.XLOOKUP(A9,'QA WK2'!A:A,'QA WK2'!I:I),"")</f>
        <v/>
      </c>
      <c r="C9" s="94" t="str">
        <f>IFERROR(_xlfn.XLOOKUP(A9,'ME0025 WK2'!A:A,'ME0025 WK2'!J:J),"")</f>
        <v/>
      </c>
      <c r="D9" s="120" t="str">
        <f t="shared" si="1"/>
        <v/>
      </c>
      <c r="E9" s="116" t="str">
        <f>IFERROR(_xlfn.XLOOKUP(A9,'ME0025 WK2'!A:A,'ME0025 WK2'!F:F),"")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Employee #9</v>
      </c>
      <c r="B10" s="115" t="str">
        <f>IFERROR(_xlfn.XLOOKUP(A10,'QA WK2'!A:A,'QA WK2'!I:I),"")</f>
        <v/>
      </c>
      <c r="C10" s="94" t="str">
        <f>IFERROR(_xlfn.XLOOKUP(A10,'ME0025 WK2'!A:A,'ME0025 WK2'!J:J),"")</f>
        <v/>
      </c>
      <c r="D10" s="120" t="str">
        <f t="shared" si="1"/>
        <v/>
      </c>
      <c r="E10" s="116" t="str">
        <f>IFERROR(_xlfn.XLOOKUP(A10,'ME0025 WK2'!A:A,'ME0025 WK2'!F:F),"")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Employee #10</v>
      </c>
      <c r="B11" s="115" t="str">
        <f>IFERROR(_xlfn.XLOOKUP(A11,'QA WK2'!A:A,'QA WK2'!I:I),"")</f>
        <v/>
      </c>
      <c r="C11" s="94" t="str">
        <f>IFERROR(_xlfn.XLOOKUP(A11,'ME0025 WK2'!A:A,'ME0025 WK2'!J:J),"")</f>
        <v/>
      </c>
      <c r="D11" s="120" t="str">
        <f t="shared" si="1"/>
        <v/>
      </c>
      <c r="E11" s="116" t="str">
        <f>IFERROR(_xlfn.XLOOKUP(A11,'ME0025 WK2'!A:A,'ME0025 WK2'!F:F),"")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Employee #11</v>
      </c>
      <c r="B12" s="115" t="str">
        <f>IFERROR(_xlfn.XLOOKUP(A12,'QA WK2'!A:A,'QA WK2'!I:I),"")</f>
        <v/>
      </c>
      <c r="C12" s="94" t="str">
        <f>IFERROR(_xlfn.XLOOKUP(A12,'ME0025 WK2'!A:A,'ME0025 WK2'!J:J),"")</f>
        <v/>
      </c>
      <c r="D12" s="120" t="str">
        <f t="shared" si="1"/>
        <v/>
      </c>
      <c r="E12" s="116" t="str">
        <f>IFERROR(_xlfn.XLOOKUP(A12,'ME0025 WK2'!A:A,'ME0025 WK2'!F:F),"")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Employee #12</v>
      </c>
      <c r="B13" s="115" t="str">
        <f>IFERROR(_xlfn.XLOOKUP(A13,'QA WK2'!A:A,'QA WK2'!I:I),"")</f>
        <v/>
      </c>
      <c r="C13" s="94" t="str">
        <f>IFERROR(_xlfn.XLOOKUP(A13,'ME0025 WK2'!A:A,'ME0025 WK2'!J:J),"")</f>
        <v/>
      </c>
      <c r="D13" s="120" t="str">
        <f t="shared" si="1"/>
        <v/>
      </c>
      <c r="E13" s="116" t="str">
        <f>IFERROR(_xlfn.XLOOKUP(A13,'ME0025 WK2'!A:A,'ME0025 WK2'!F:F),"")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Employee #13</v>
      </c>
      <c r="B14" s="115" t="str">
        <f>IFERROR(_xlfn.XLOOKUP(A14,'QA WK2'!A:A,'QA WK2'!I:I),"")</f>
        <v/>
      </c>
      <c r="C14" s="94" t="str">
        <f>IFERROR(_xlfn.XLOOKUP(A14,'ME0025 WK2'!A:A,'ME0025 WK2'!J:J),"")</f>
        <v/>
      </c>
      <c r="D14" s="120" t="str">
        <f t="shared" si="1"/>
        <v/>
      </c>
      <c r="E14" s="116" t="str">
        <f>IFERROR(_xlfn.XLOOKUP(A14,'ME0025 WK2'!A:A,'ME0025 WK2'!F:F),"")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Employee #14</v>
      </c>
      <c r="B15" s="115" t="str">
        <f>IFERROR(_xlfn.XLOOKUP(A15,'QA WK2'!A:A,'QA WK2'!I:I),"")</f>
        <v/>
      </c>
      <c r="C15" s="94" t="str">
        <f>IFERROR(_xlfn.XLOOKUP(A15,'ME0025 WK2'!A:A,'ME0025 WK2'!J:J),"")</f>
        <v/>
      </c>
      <c r="D15" s="120" t="str">
        <f t="shared" si="1"/>
        <v/>
      </c>
      <c r="E15" s="116" t="str">
        <f>IFERROR(_xlfn.XLOOKUP(A15,'ME0025 WK2'!A:A,'ME0025 WK2'!F:F),"")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WK2'!A:A,'QA WK2'!I:I),"")</f>
        <v/>
      </c>
      <c r="C16" s="94" t="str">
        <f>IFERROR(_xlfn.XLOOKUP(A16,'ME0025 WK2'!A:A,'ME0025 WK2'!J:J),"")</f>
        <v/>
      </c>
      <c r="D16" s="120" t="str">
        <f t="shared" si="1"/>
        <v/>
      </c>
      <c r="E16" s="116" t="str">
        <f>IFERROR(_xlfn.XLOOKUP(A16,'ME0025 WK2'!A:A,'ME0025 WK2'!F:F),"")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WK2'!A:A,'QA WK2'!I:I),"")</f>
        <v/>
      </c>
      <c r="C17" s="94" t="str">
        <f>IFERROR(_xlfn.XLOOKUP(A17,'ME0025 WK2'!A:A,'ME0025 WK2'!J:J),"")</f>
        <v/>
      </c>
      <c r="D17" s="120" t="str">
        <f t="shared" si="1"/>
        <v/>
      </c>
      <c r="E17" s="116" t="str">
        <f>IFERROR(_xlfn.XLOOKUP(A17,'ME0025 WK2'!A:A,'ME0025 WK2'!F:F),"")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WK2'!A:A,'QA WK2'!I:I),"")</f>
        <v/>
      </c>
      <c r="C18" s="94" t="str">
        <f>IFERROR(_xlfn.XLOOKUP(A18,'ME0025 WK2'!A:A,'ME0025 WK2'!J:J),"")</f>
        <v/>
      </c>
      <c r="D18" s="120" t="str">
        <f t="shared" si="1"/>
        <v/>
      </c>
      <c r="E18" s="116" t="str">
        <f>IFERROR(_xlfn.XLOOKUP(A18,'ME0025 WK2'!A:A,'ME0025 WK2'!F:F),"")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WK2'!A:A,'QA WK2'!I:I),"")</f>
        <v/>
      </c>
      <c r="C19" s="94" t="str">
        <f>IFERROR(_xlfn.XLOOKUP(A19,'ME0025 WK2'!A:A,'ME0025 WK2'!J:J),"")</f>
        <v/>
      </c>
      <c r="D19" s="120" t="str">
        <f t="shared" si="1"/>
        <v/>
      </c>
      <c r="E19" s="116" t="str">
        <f>IFERROR(_xlfn.XLOOKUP(A19,'ME0025 WK2'!A:A,'ME0025 WK2'!F:F),"")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WK2'!A:A,'QA WK2'!I:I),"")</f>
        <v/>
      </c>
      <c r="C20" s="94" t="str">
        <f>IFERROR(_xlfn.XLOOKUP(A20,'ME0025 WK2'!A:A,'ME0025 WK2'!J:J),"")</f>
        <v/>
      </c>
      <c r="D20" s="120" t="str">
        <f t="shared" si="1"/>
        <v/>
      </c>
      <c r="E20" s="116" t="str">
        <f>IFERROR(_xlfn.XLOOKUP(A20,'ME0025 WK2'!A:A,'ME0025 WK2'!F:F),"")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WK2'!A:A,'QA WK2'!I:I),"")</f>
        <v/>
      </c>
      <c r="C21" s="94" t="str">
        <f>IFERROR(_xlfn.XLOOKUP(A21,'ME0025 WK2'!A:A,'ME0025 WK2'!J:J),"")</f>
        <v/>
      </c>
      <c r="D21" s="120" t="str">
        <f t="shared" si="1"/>
        <v/>
      </c>
      <c r="E21" s="116" t="str">
        <f>IFERROR(_xlfn.XLOOKUP(A21,'ME0025 WK2'!A:A,'ME0025 WK2'!F:F),"")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WK2'!A:A,'QA WK2'!I:I),"")</f>
        <v/>
      </c>
      <c r="C22" s="94" t="str">
        <f>IFERROR(_xlfn.XLOOKUP(A22,'ME0025 WK2'!A:A,'ME0025 WK2'!J:J),"")</f>
        <v/>
      </c>
      <c r="D22" s="120" t="str">
        <f t="shared" si="1"/>
        <v/>
      </c>
      <c r="E22" s="116" t="str">
        <f>IFERROR(_xlfn.XLOOKUP(A22,'ME0025 WK2'!A:A,'ME0025 WK2'!F:F),"")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2" t="s">
        <v>45</v>
      </c>
      <c r="B23" s="203"/>
      <c r="C23" s="121">
        <v>3.25</v>
      </c>
      <c r="D23" s="200" t="s">
        <v>21</v>
      </c>
      <c r="E23" s="201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TxR8KuELtsbhU6+A0lXZR8q5hqGUL55YMbUejRwqoYjAL/kNViJtY5t1HT7H+ypWGLp0Df1ecfA6z5WJYAMgQQ==" saltValue="Mtwb3NanD97C7BQGbNNiNQ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41A11-D98F-4E9C-8659-B601129B1C48}">
  <sheetPr codeName="Sheet4">
    <tabColor rgb="FF0070C0"/>
  </sheetPr>
  <dimension ref="A1:I30"/>
  <sheetViews>
    <sheetView workbookViewId="0">
      <selection activeCell="B9" sqref="B9:B10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51</v>
      </c>
      <c r="C1" s="111" t="s">
        <v>52</v>
      </c>
      <c r="D1" s="111" t="s">
        <v>53</v>
      </c>
      <c r="E1" s="157" t="s">
        <v>54</v>
      </c>
      <c r="F1" s="158" t="s">
        <v>55</v>
      </c>
      <c r="G1" s="158" t="s">
        <v>56</v>
      </c>
      <c r="H1" s="158" t="s">
        <v>57</v>
      </c>
      <c r="I1" s="158" t="s">
        <v>58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4" name="Button 2">
              <controlPr defaultSize="0" print="0" autoFill="0" autoPict="0" macro="[0]!ClearQA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7A0B-E9FF-4239-AA84-FF976D834699}">
  <sheetPr codeName="Sheet38">
    <tabColor rgb="FF0070C0"/>
  </sheetPr>
  <dimension ref="A1:N381"/>
  <sheetViews>
    <sheetView workbookViewId="0">
      <selection activeCell="D12" sqref="D12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1" bestFit="1" customWidth="1"/>
    <col min="7" max="7" width="8.90625" style="1" bestFit="1" customWidth="1"/>
    <col min="8" max="8" width="9.6328125" style="1" bestFit="1" customWidth="1"/>
    <col min="9" max="9" width="16.36328125" style="1" bestFit="1" customWidth="1"/>
    <col min="10" max="10" width="24" style="1" bestFit="1" customWidth="1"/>
    <col min="11" max="11" width="20" style="1" bestFit="1" customWidth="1"/>
    <col min="12" max="12" width="20.453125" style="1" bestFit="1" customWidth="1"/>
    <col min="13" max="13" width="23.1796875" style="1" bestFit="1" customWidth="1"/>
    <col min="14" max="14" width="16.08984375" style="1" bestFit="1" customWidth="1"/>
    <col min="15" max="16384" width="9.08984375" style="1"/>
  </cols>
  <sheetData>
    <row r="1" spans="1:14" s="162" customFormat="1" x14ac:dyDescent="0.35">
      <c r="A1" s="159" t="s">
        <v>1</v>
      </c>
      <c r="B1" s="159" t="s">
        <v>2</v>
      </c>
      <c r="C1" s="159" t="s">
        <v>3</v>
      </c>
      <c r="D1" s="159" t="s">
        <v>10</v>
      </c>
      <c r="E1" s="159" t="s">
        <v>4</v>
      </c>
      <c r="F1" s="159" t="s">
        <v>5</v>
      </c>
      <c r="G1" s="159" t="s">
        <v>6</v>
      </c>
      <c r="H1" s="159" t="s">
        <v>59</v>
      </c>
      <c r="I1" s="160" t="s">
        <v>7</v>
      </c>
      <c r="J1" s="161" t="s">
        <v>60</v>
      </c>
      <c r="K1" s="160" t="s">
        <v>8</v>
      </c>
      <c r="L1" s="159" t="s">
        <v>9</v>
      </c>
      <c r="M1" s="159" t="s">
        <v>61</v>
      </c>
      <c r="N1" s="159" t="s">
        <v>62</v>
      </c>
    </row>
    <row r="2" spans="1:14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</row>
    <row r="3" spans="1:14" ht="15" thickBot="1" x14ac:dyDescent="0.4">
      <c r="A3" s="170"/>
      <c r="B3" s="171"/>
      <c r="C3" s="13"/>
      <c r="D3" s="13"/>
      <c r="E3" s="14"/>
      <c r="F3" s="13"/>
      <c r="G3" s="14"/>
      <c r="H3" s="13"/>
      <c r="I3" s="14"/>
      <c r="J3" s="13"/>
      <c r="K3" s="13"/>
      <c r="L3" s="13"/>
      <c r="M3" s="13"/>
      <c r="N3" s="13"/>
    </row>
    <row r="4" spans="1:14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</row>
    <row r="5" spans="1:14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</row>
    <row r="6" spans="1:14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</row>
    <row r="7" spans="1:14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</row>
    <row r="8" spans="1:14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</row>
    <row r="9" spans="1:14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</row>
    <row r="10" spans="1:14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</row>
    <row r="11" spans="1:14" x14ac:dyDescent="0.35">
      <c r="A11" s="4"/>
      <c r="B11" s="12"/>
      <c r="C11" s="13"/>
      <c r="D11" s="13"/>
      <c r="E11" s="14"/>
      <c r="F11" s="13"/>
      <c r="G11" s="14"/>
      <c r="H11" s="13"/>
      <c r="I11" s="14"/>
      <c r="J11" s="13"/>
      <c r="K11" s="13"/>
      <c r="L11" s="13"/>
      <c r="M11" s="13"/>
      <c r="N11" s="13"/>
    </row>
    <row r="12" spans="1:14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</row>
    <row r="13" spans="1:14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</row>
    <row r="14" spans="1:14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</row>
    <row r="15" spans="1:14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</row>
    <row r="16" spans="1:14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</row>
    <row r="17" spans="1:14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</row>
    <row r="18" spans="1:14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</row>
    <row r="19" spans="1:14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</row>
    <row r="20" spans="1:14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</row>
    <row r="21" spans="1:14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</row>
    <row r="22" spans="1:14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</row>
    <row r="23" spans="1:14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</row>
    <row r="24" spans="1:14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</row>
    <row r="25" spans="1:14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</row>
    <row r="26" spans="1:14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</row>
    <row r="27" spans="1:14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</row>
    <row r="28" spans="1:14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</row>
    <row r="29" spans="1:14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</row>
    <row r="30" spans="1:14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</row>
    <row r="31" spans="1:14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</row>
    <row r="32" spans="1:14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</row>
    <row r="33" spans="1:14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</row>
    <row r="34" spans="1:14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</row>
    <row r="35" spans="1:14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</row>
    <row r="36" spans="1:14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</row>
    <row r="37" spans="1:14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</row>
    <row r="38" spans="1:14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</row>
    <row r="39" spans="1:14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</row>
    <row r="40" spans="1:14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</row>
    <row r="41" spans="1:14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</row>
    <row r="42" spans="1:14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</row>
    <row r="43" spans="1:14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</row>
    <row r="44" spans="1:14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</row>
    <row r="45" spans="1:14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</row>
    <row r="46" spans="1:14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</row>
    <row r="47" spans="1:14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</row>
    <row r="48" spans="1:14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</row>
    <row r="49" spans="2:14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</row>
    <row r="50" spans="2:14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</row>
    <row r="51" spans="2:14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</row>
    <row r="52" spans="2:14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</row>
    <row r="53" spans="2:14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</row>
    <row r="54" spans="2:14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</row>
    <row r="55" spans="2:14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</row>
    <row r="56" spans="2:14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</row>
    <row r="57" spans="2:14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</row>
    <row r="58" spans="2:14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</row>
    <row r="59" spans="2:14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</row>
    <row r="60" spans="2:14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</row>
    <row r="61" spans="2:14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</row>
    <row r="62" spans="2:14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</row>
    <row r="63" spans="2:14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</row>
    <row r="64" spans="2:14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</row>
    <row r="65" spans="2:14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</row>
    <row r="66" spans="2:14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</row>
    <row r="67" spans="2:14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</row>
    <row r="68" spans="2:14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</row>
    <row r="69" spans="2:14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</row>
    <row r="70" spans="2:14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</row>
    <row r="71" spans="2:14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</row>
    <row r="72" spans="2:14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</row>
    <row r="73" spans="2:14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</row>
    <row r="74" spans="2:14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</row>
    <row r="75" spans="2:14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</row>
    <row r="76" spans="2:14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</row>
    <row r="77" spans="2:14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</row>
    <row r="78" spans="2:14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</row>
    <row r="79" spans="2:14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</row>
    <row r="80" spans="2:14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</row>
    <row r="81" spans="2:14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</row>
    <row r="82" spans="2:14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</row>
    <row r="83" spans="2:14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</row>
    <row r="84" spans="2:14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</row>
    <row r="85" spans="2:14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</row>
    <row r="86" spans="2:14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</row>
    <row r="87" spans="2:14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</row>
    <row r="88" spans="2:14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</row>
    <row r="89" spans="2:14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</row>
    <row r="90" spans="2:14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</row>
    <row r="91" spans="2:14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</row>
    <row r="92" spans="2:14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</row>
    <row r="93" spans="2:14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</row>
    <row r="94" spans="2:14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</row>
    <row r="95" spans="2:14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</row>
    <row r="96" spans="2:14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</row>
    <row r="97" spans="2:14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</row>
    <row r="98" spans="2:14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</row>
    <row r="99" spans="2:14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</row>
    <row r="100" spans="2:14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</row>
    <row r="101" spans="2:14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</row>
    <row r="102" spans="2:14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</row>
    <row r="103" spans="2:14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</row>
    <row r="104" spans="2:14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</row>
    <row r="105" spans="2:14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</row>
    <row r="106" spans="2:14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</row>
    <row r="107" spans="2:14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</row>
    <row r="108" spans="2:14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</row>
    <row r="109" spans="2:14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</row>
    <row r="110" spans="2:14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</row>
    <row r="111" spans="2:14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</row>
    <row r="112" spans="2:14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</row>
    <row r="113" spans="2:14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</row>
    <row r="114" spans="2:14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</row>
    <row r="115" spans="2:14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</row>
    <row r="116" spans="2:14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</row>
    <row r="117" spans="2:14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</row>
    <row r="118" spans="2:14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</row>
    <row r="119" spans="2:14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</row>
    <row r="120" spans="2:14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</row>
    <row r="121" spans="2:14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</row>
    <row r="122" spans="2:14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</row>
    <row r="123" spans="2:14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</row>
    <row r="124" spans="2:14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</row>
    <row r="125" spans="2:14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</row>
    <row r="126" spans="2:14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</row>
    <row r="127" spans="2:14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</row>
    <row r="128" spans="2:14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</row>
    <row r="129" spans="2:14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</row>
    <row r="130" spans="2:14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</row>
    <row r="131" spans="2:14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</row>
    <row r="132" spans="2:14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</row>
    <row r="133" spans="2:14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</row>
    <row r="134" spans="2:14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</row>
    <row r="135" spans="2:14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</row>
    <row r="136" spans="2:14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</row>
    <row r="137" spans="2:14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</row>
    <row r="138" spans="2:14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</row>
    <row r="139" spans="2:14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</row>
    <row r="140" spans="2:14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</row>
    <row r="141" spans="2:14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</row>
    <row r="142" spans="2:14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</row>
    <row r="143" spans="2:14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</row>
    <row r="144" spans="2:14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</row>
    <row r="145" spans="2:14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</row>
    <row r="146" spans="2:14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</row>
    <row r="147" spans="2:14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</row>
    <row r="148" spans="2:14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</row>
    <row r="149" spans="2:14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</row>
    <row r="150" spans="2:14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</row>
    <row r="151" spans="2:14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</row>
    <row r="152" spans="2:14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</row>
    <row r="153" spans="2:14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</row>
    <row r="154" spans="2:14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</row>
    <row r="155" spans="2:14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</row>
    <row r="156" spans="2:14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</row>
    <row r="157" spans="2:14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</row>
    <row r="158" spans="2:14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</row>
    <row r="159" spans="2:14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</row>
    <row r="160" spans="2:14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</row>
    <row r="161" spans="2:14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</row>
    <row r="162" spans="2:14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</row>
    <row r="163" spans="2:14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</row>
    <row r="164" spans="2:14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</row>
    <row r="165" spans="2:14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</row>
    <row r="166" spans="2:14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</row>
    <row r="167" spans="2:14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</row>
    <row r="168" spans="2:14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</row>
    <row r="169" spans="2:14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</row>
    <row r="170" spans="2:14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</row>
    <row r="171" spans="2:14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</row>
    <row r="172" spans="2:14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</row>
    <row r="173" spans="2:14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</row>
    <row r="174" spans="2:14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</row>
    <row r="175" spans="2:14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</row>
    <row r="176" spans="2:14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</row>
    <row r="177" spans="2:14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</row>
    <row r="178" spans="2:14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</row>
    <row r="179" spans="2:14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</row>
    <row r="180" spans="2:14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</row>
    <row r="181" spans="2:14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</row>
    <row r="182" spans="2:14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</row>
    <row r="183" spans="2:14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</row>
    <row r="184" spans="2:14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</row>
    <row r="185" spans="2:14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</row>
    <row r="186" spans="2:14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</row>
    <row r="187" spans="2:14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</row>
    <row r="188" spans="2:14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</row>
    <row r="189" spans="2:14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</row>
    <row r="190" spans="2:14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</row>
    <row r="191" spans="2:14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</row>
    <row r="192" spans="2:14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</row>
    <row r="193" spans="2:14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</row>
    <row r="194" spans="2:14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</row>
    <row r="195" spans="2:14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</row>
    <row r="196" spans="2:14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</row>
    <row r="197" spans="2:14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</row>
    <row r="198" spans="2:14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</row>
    <row r="199" spans="2:14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</row>
    <row r="200" spans="2:14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</row>
    <row r="201" spans="2:14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</row>
    <row r="202" spans="2:14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</row>
    <row r="203" spans="2:14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</row>
    <row r="204" spans="2:14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</row>
    <row r="205" spans="2:14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</row>
    <row r="206" spans="2:14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</row>
    <row r="207" spans="2:14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</row>
    <row r="208" spans="2:14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</row>
    <row r="209" spans="2:14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</row>
    <row r="210" spans="2:14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</row>
    <row r="211" spans="2:14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</row>
    <row r="212" spans="2:14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</row>
    <row r="213" spans="2:14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</row>
    <row r="214" spans="2:14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</row>
    <row r="215" spans="2:14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</row>
    <row r="216" spans="2:14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</row>
    <row r="217" spans="2:14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</row>
    <row r="218" spans="2:14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</row>
    <row r="219" spans="2:14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</row>
    <row r="220" spans="2:14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</row>
    <row r="221" spans="2:14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</row>
    <row r="222" spans="2:14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</row>
    <row r="223" spans="2:14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</row>
    <row r="224" spans="2:14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</row>
    <row r="225" spans="2:14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</row>
    <row r="226" spans="2:14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</row>
    <row r="227" spans="2:14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</row>
    <row r="228" spans="2:14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</row>
    <row r="229" spans="2:14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</row>
    <row r="230" spans="2:14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</row>
    <row r="231" spans="2:14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</row>
    <row r="232" spans="2:14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</row>
    <row r="233" spans="2:14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</row>
    <row r="234" spans="2:14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</row>
    <row r="235" spans="2:14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</row>
    <row r="236" spans="2:14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</row>
    <row r="237" spans="2:14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</row>
    <row r="238" spans="2:14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</row>
    <row r="239" spans="2:14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</row>
    <row r="240" spans="2:14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</row>
    <row r="241" spans="2:14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</row>
    <row r="242" spans="2:14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</row>
    <row r="243" spans="2:14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</row>
    <row r="244" spans="2:14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</row>
    <row r="245" spans="2:14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</row>
    <row r="246" spans="2:14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</row>
    <row r="247" spans="2:14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</row>
    <row r="248" spans="2:14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</row>
    <row r="249" spans="2:14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</row>
    <row r="250" spans="2:14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</row>
    <row r="251" spans="2:14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</row>
    <row r="252" spans="2:14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</row>
    <row r="253" spans="2:14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</row>
    <row r="254" spans="2:14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</row>
    <row r="255" spans="2:14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</row>
    <row r="256" spans="2:14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</row>
    <row r="257" spans="2:14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</row>
    <row r="258" spans="2:14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</row>
    <row r="259" spans="2:14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</row>
    <row r="260" spans="2:14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</row>
    <row r="261" spans="2:14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</row>
    <row r="262" spans="2:14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</row>
    <row r="263" spans="2:14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</row>
    <row r="264" spans="2:14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</row>
    <row r="265" spans="2:14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</row>
    <row r="266" spans="2:14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</row>
    <row r="267" spans="2:14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</row>
    <row r="268" spans="2:14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</row>
    <row r="269" spans="2:14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</row>
    <row r="270" spans="2:14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</row>
    <row r="271" spans="2:14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</row>
    <row r="272" spans="2:14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</row>
    <row r="273" spans="2:14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</row>
    <row r="274" spans="2:14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</row>
    <row r="275" spans="2:14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</row>
    <row r="276" spans="2:14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</row>
    <row r="277" spans="2:14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</row>
    <row r="278" spans="2:14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</row>
    <row r="279" spans="2:14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</row>
    <row r="280" spans="2:14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</row>
    <row r="281" spans="2:14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</row>
    <row r="282" spans="2:14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</row>
    <row r="283" spans="2:14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</row>
    <row r="284" spans="2:14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</row>
    <row r="285" spans="2:14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</row>
    <row r="286" spans="2:14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</row>
    <row r="287" spans="2:14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</row>
    <row r="288" spans="2:14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</row>
    <row r="289" spans="2:14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</row>
    <row r="290" spans="2:14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</row>
    <row r="291" spans="2:14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</row>
    <row r="292" spans="2:14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</row>
    <row r="293" spans="2:14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</row>
    <row r="294" spans="2:14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</row>
    <row r="295" spans="2:14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</row>
    <row r="296" spans="2:14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</row>
    <row r="297" spans="2:14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</row>
    <row r="298" spans="2:14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</row>
    <row r="299" spans="2:14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</row>
    <row r="300" spans="2:14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</row>
    <row r="301" spans="2:14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</row>
    <row r="302" spans="2:14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</row>
    <row r="303" spans="2:14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</row>
    <row r="304" spans="2:14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</row>
    <row r="305" spans="2:14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</row>
    <row r="306" spans="2:14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</row>
    <row r="307" spans="2:14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</row>
    <row r="308" spans="2:14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</row>
    <row r="309" spans="2:14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</row>
    <row r="310" spans="2:14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</row>
    <row r="311" spans="2:14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</row>
    <row r="312" spans="2:14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</row>
    <row r="313" spans="2:14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</row>
    <row r="314" spans="2:14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</row>
    <row r="315" spans="2:14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</row>
    <row r="316" spans="2:14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</row>
    <row r="317" spans="2:14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</row>
    <row r="318" spans="2:14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</row>
    <row r="319" spans="2:14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</row>
    <row r="320" spans="2:14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</row>
    <row r="321" spans="2:14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</row>
    <row r="322" spans="2:14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</row>
    <row r="323" spans="2:14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</row>
    <row r="324" spans="2:14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</row>
    <row r="325" spans="2:14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</row>
    <row r="326" spans="2:14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</row>
    <row r="327" spans="2:14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</row>
    <row r="328" spans="2:14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</row>
    <row r="329" spans="2:14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</row>
    <row r="330" spans="2:14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</row>
    <row r="331" spans="2:14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</row>
    <row r="332" spans="2:14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</row>
    <row r="333" spans="2:14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</row>
    <row r="334" spans="2:14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</row>
    <row r="335" spans="2:14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</row>
    <row r="336" spans="2:14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</row>
    <row r="337" spans="2:14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</row>
    <row r="338" spans="2:14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</row>
    <row r="339" spans="2:14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</row>
    <row r="340" spans="2:14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</row>
    <row r="341" spans="2:14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</row>
    <row r="342" spans="2:14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</row>
    <row r="343" spans="2:14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</row>
    <row r="344" spans="2:14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</row>
    <row r="345" spans="2:14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</row>
    <row r="346" spans="2:14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</row>
    <row r="347" spans="2:14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</row>
    <row r="348" spans="2:14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</row>
    <row r="349" spans="2:14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</row>
    <row r="350" spans="2:14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</row>
    <row r="351" spans="2:14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</row>
    <row r="352" spans="2:14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</row>
    <row r="353" spans="2:14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</row>
    <row r="354" spans="2:14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</row>
    <row r="355" spans="2:14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</row>
    <row r="356" spans="2:14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</row>
    <row r="357" spans="2:14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</row>
    <row r="358" spans="2:14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</row>
    <row r="359" spans="2:14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</row>
    <row r="360" spans="2:14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</row>
    <row r="361" spans="2:14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</row>
    <row r="362" spans="2:14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</row>
    <row r="363" spans="2:14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</row>
    <row r="364" spans="2:14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</row>
    <row r="365" spans="2:14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</row>
    <row r="366" spans="2:14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</row>
    <row r="367" spans="2:14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</row>
    <row r="368" spans="2:14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</row>
    <row r="369" spans="2:14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</row>
    <row r="370" spans="2:14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</row>
    <row r="371" spans="2:14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</row>
    <row r="372" spans="2:14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</row>
    <row r="373" spans="2:14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</row>
    <row r="374" spans="2:14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</row>
    <row r="375" spans="2:14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</row>
    <row r="376" spans="2:14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</row>
    <row r="377" spans="2:14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</row>
    <row r="378" spans="2:14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</row>
    <row r="379" spans="2:14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</row>
    <row r="380" spans="2:14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</row>
    <row r="381" spans="2:14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3" name="Button 2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8BF23-95DD-4408-BD33-F022A7E5D141}">
  <sheetPr codeName="Sheet39">
    <tabColor rgb="FF7030A0"/>
  </sheetPr>
  <dimension ref="A1:I24"/>
  <sheetViews>
    <sheetView workbookViewId="0">
      <pane ySplit="2" topLeftCell="A3" activePane="bottomLeft" state="frozen"/>
      <selection pane="bottomLeft" activeCell="B2" sqref="B2:E2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Employee #1</v>
      </c>
      <c r="B2" s="115" t="str">
        <f>IFERROR(_xlfn.XLOOKUP(A2,'QA WK3'!A:A,'QA WK3'!I:I),"")</f>
        <v/>
      </c>
      <c r="C2" s="94" t="str">
        <f>IFERROR(_xlfn.XLOOKUP(A2,'ME0025 WK3'!A:A,'ME0025 WK3'!J:J),"")</f>
        <v/>
      </c>
      <c r="D2" s="120" t="str">
        <f>IFERROR(C2/$C$23,"")</f>
        <v/>
      </c>
      <c r="E2" s="116" t="str">
        <f>IFERROR(_xlfn.XLOOKUP(A2,'ME0025 WK3'!A:A,'ME0025 WK3'!F:F),"")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Employee #2</v>
      </c>
      <c r="B3" s="115" t="str">
        <f>IFERROR(_xlfn.XLOOKUP(A3,'QA WK3'!A:A,'QA WK3'!I:I),"")</f>
        <v/>
      </c>
      <c r="C3" s="94" t="str">
        <f>IFERROR(_xlfn.XLOOKUP(A3,'ME0025 WK3'!A:A,'ME0025 WK3'!J:J),"")</f>
        <v/>
      </c>
      <c r="D3" s="120" t="str">
        <f t="shared" ref="D3:D22" si="1">IFERROR(C3/$C$23,"")</f>
        <v/>
      </c>
      <c r="E3" s="116" t="str">
        <f>IFERROR(_xlfn.XLOOKUP(A3,'ME0025 WK3'!A:A,'ME0025 WK3'!F:F),"")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Employee #3</v>
      </c>
      <c r="B4" s="115" t="str">
        <f>IFERROR(_xlfn.XLOOKUP(A4,'QA WK3'!A:A,'QA WK3'!I:I),"")</f>
        <v/>
      </c>
      <c r="C4" s="94" t="str">
        <f>IFERROR(_xlfn.XLOOKUP(A4,'ME0025 WK3'!A:A,'ME0025 WK3'!J:J),"")</f>
        <v/>
      </c>
      <c r="D4" s="120" t="str">
        <f t="shared" si="1"/>
        <v/>
      </c>
      <c r="E4" s="116" t="str">
        <f>IFERROR(_xlfn.XLOOKUP(A4,'ME0025 WK3'!A:A,'ME0025 WK3'!F:F),"")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Employee #4</v>
      </c>
      <c r="B5" s="115" t="str">
        <f>IFERROR(_xlfn.XLOOKUP(A5,'QA WK3'!A:A,'QA WK3'!I:I),"")</f>
        <v/>
      </c>
      <c r="C5" s="94" t="str">
        <f>IFERROR(_xlfn.XLOOKUP(A5,'ME0025 WK3'!A:A,'ME0025 WK3'!J:J),"")</f>
        <v/>
      </c>
      <c r="D5" s="120" t="str">
        <f t="shared" si="1"/>
        <v/>
      </c>
      <c r="E5" s="116" t="str">
        <f>IFERROR(_xlfn.XLOOKUP(A5,'ME0025 WK3'!A:A,'ME0025 WK3'!F:F),"")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Employee #5</v>
      </c>
      <c r="B6" s="115" t="str">
        <f>IFERROR(_xlfn.XLOOKUP(A6,'QA WK3'!A:A,'QA WK3'!I:I),"")</f>
        <v/>
      </c>
      <c r="C6" s="94" t="str">
        <f>IFERROR(_xlfn.XLOOKUP(A6,'ME0025 WK3'!A:A,'ME0025 WK3'!J:J),"")</f>
        <v/>
      </c>
      <c r="D6" s="120" t="str">
        <f t="shared" si="1"/>
        <v/>
      </c>
      <c r="E6" s="116" t="str">
        <f>IFERROR(_xlfn.XLOOKUP(A6,'ME0025 WK3'!A:A,'ME0025 WK3'!F:F),"")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Employee #6</v>
      </c>
      <c r="B7" s="115" t="str">
        <f>IFERROR(_xlfn.XLOOKUP(A7,'QA WK3'!A:A,'QA WK3'!I:I),"")</f>
        <v/>
      </c>
      <c r="C7" s="94" t="str">
        <f>IFERROR(_xlfn.XLOOKUP(A7,'ME0025 WK3'!A:A,'ME0025 WK3'!J:J),"")</f>
        <v/>
      </c>
      <c r="D7" s="120" t="str">
        <f t="shared" si="1"/>
        <v/>
      </c>
      <c r="E7" s="116" t="str">
        <f>IFERROR(_xlfn.XLOOKUP(A7,'ME0025 WK3'!A:A,'ME0025 WK3'!F:F),"")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Employee #7</v>
      </c>
      <c r="B8" s="115" t="str">
        <f>IFERROR(_xlfn.XLOOKUP(A8,'QA WK3'!A:A,'QA WK3'!I:I),"")</f>
        <v/>
      </c>
      <c r="C8" s="94" t="str">
        <f>IFERROR(_xlfn.XLOOKUP(A8,'ME0025 WK3'!A:A,'ME0025 WK3'!J:J),"")</f>
        <v/>
      </c>
      <c r="D8" s="120" t="str">
        <f t="shared" si="1"/>
        <v/>
      </c>
      <c r="E8" s="116" t="str">
        <f>IFERROR(_xlfn.XLOOKUP(A8,'ME0025 WK3'!A:A,'ME0025 WK3'!F:F),"")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Employee #8</v>
      </c>
      <c r="B9" s="115" t="str">
        <f>IFERROR(_xlfn.XLOOKUP(A9,'QA WK3'!A:A,'QA WK3'!I:I),"")</f>
        <v/>
      </c>
      <c r="C9" s="94" t="str">
        <f>IFERROR(_xlfn.XLOOKUP(A9,'ME0025 WK3'!A:A,'ME0025 WK3'!J:J),"")</f>
        <v/>
      </c>
      <c r="D9" s="120" t="str">
        <f t="shared" si="1"/>
        <v/>
      </c>
      <c r="E9" s="116" t="str">
        <f>IFERROR(_xlfn.XLOOKUP(A9,'ME0025 WK3'!A:A,'ME0025 WK3'!F:F),"")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Employee #9</v>
      </c>
      <c r="B10" s="115" t="str">
        <f>IFERROR(_xlfn.XLOOKUP(A10,'QA WK3'!A:A,'QA WK3'!I:I),"")</f>
        <v/>
      </c>
      <c r="C10" s="94" t="str">
        <f>IFERROR(_xlfn.XLOOKUP(A10,'ME0025 WK3'!A:A,'ME0025 WK3'!J:J),"")</f>
        <v/>
      </c>
      <c r="D10" s="120" t="str">
        <f t="shared" si="1"/>
        <v/>
      </c>
      <c r="E10" s="116" t="str">
        <f>IFERROR(_xlfn.XLOOKUP(A10,'ME0025 WK3'!A:A,'ME0025 WK3'!F:F),"")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Employee #10</v>
      </c>
      <c r="B11" s="115" t="str">
        <f>IFERROR(_xlfn.XLOOKUP(A11,'QA WK3'!A:A,'QA WK3'!I:I),"")</f>
        <v/>
      </c>
      <c r="C11" s="94" t="str">
        <f>IFERROR(_xlfn.XLOOKUP(A11,'ME0025 WK3'!A:A,'ME0025 WK3'!J:J),"")</f>
        <v/>
      </c>
      <c r="D11" s="120" t="str">
        <f t="shared" si="1"/>
        <v/>
      </c>
      <c r="E11" s="116" t="str">
        <f>IFERROR(_xlfn.XLOOKUP(A11,'ME0025 WK3'!A:A,'ME0025 WK3'!F:F),"")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Employee #11</v>
      </c>
      <c r="B12" s="115" t="str">
        <f>IFERROR(_xlfn.XLOOKUP(A12,'QA WK3'!A:A,'QA WK3'!I:I),"")</f>
        <v/>
      </c>
      <c r="C12" s="94" t="str">
        <f>IFERROR(_xlfn.XLOOKUP(A12,'ME0025 WK3'!A:A,'ME0025 WK3'!J:J),"")</f>
        <v/>
      </c>
      <c r="D12" s="120" t="str">
        <f t="shared" si="1"/>
        <v/>
      </c>
      <c r="E12" s="116" t="str">
        <f>IFERROR(_xlfn.XLOOKUP(A12,'ME0025 WK3'!A:A,'ME0025 WK3'!F:F),"")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Employee #12</v>
      </c>
      <c r="B13" s="115" t="str">
        <f>IFERROR(_xlfn.XLOOKUP(A13,'QA WK3'!A:A,'QA WK3'!I:I),"")</f>
        <v/>
      </c>
      <c r="C13" s="94" t="str">
        <f>IFERROR(_xlfn.XLOOKUP(A13,'ME0025 WK3'!A:A,'ME0025 WK3'!J:J),"")</f>
        <v/>
      </c>
      <c r="D13" s="120" t="str">
        <f t="shared" si="1"/>
        <v/>
      </c>
      <c r="E13" s="116" t="str">
        <f>IFERROR(_xlfn.XLOOKUP(A13,'ME0025 WK3'!A:A,'ME0025 WK3'!F:F),"")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Employee #13</v>
      </c>
      <c r="B14" s="115" t="str">
        <f>IFERROR(_xlfn.XLOOKUP(A14,'QA WK3'!A:A,'QA WK3'!I:I),"")</f>
        <v/>
      </c>
      <c r="C14" s="94" t="str">
        <f>IFERROR(_xlfn.XLOOKUP(A14,'ME0025 WK3'!A:A,'ME0025 WK3'!J:J),"")</f>
        <v/>
      </c>
      <c r="D14" s="120" t="str">
        <f t="shared" si="1"/>
        <v/>
      </c>
      <c r="E14" s="116" t="str">
        <f>IFERROR(_xlfn.XLOOKUP(A14,'ME0025 WK3'!A:A,'ME0025 WK3'!F:F),"")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Employee #14</v>
      </c>
      <c r="B15" s="115" t="str">
        <f>IFERROR(_xlfn.XLOOKUP(A15,'QA WK3'!A:A,'QA WK3'!I:I),"")</f>
        <v/>
      </c>
      <c r="C15" s="94" t="str">
        <f>IFERROR(_xlfn.XLOOKUP(A15,'ME0025 WK3'!A:A,'ME0025 WK3'!J:J),"")</f>
        <v/>
      </c>
      <c r="D15" s="120" t="str">
        <f t="shared" si="1"/>
        <v/>
      </c>
      <c r="E15" s="116" t="str">
        <f>IFERROR(_xlfn.XLOOKUP(A15,'ME0025 WK3'!A:A,'ME0025 WK3'!F:F),"")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WK3'!A:A,'QA WK3'!I:I),"")</f>
        <v/>
      </c>
      <c r="C16" s="94" t="str">
        <f>IFERROR(_xlfn.XLOOKUP(A16,'ME0025 WK3'!A:A,'ME0025 WK3'!J:J),"")</f>
        <v/>
      </c>
      <c r="D16" s="120" t="str">
        <f t="shared" si="1"/>
        <v/>
      </c>
      <c r="E16" s="116" t="str">
        <f>IFERROR(_xlfn.XLOOKUP(A16,'ME0025 WK3'!A:A,'ME0025 WK3'!F:F),"")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WK3'!A:A,'QA WK3'!I:I),"")</f>
        <v/>
      </c>
      <c r="C17" s="94" t="str">
        <f>IFERROR(_xlfn.XLOOKUP(A17,'ME0025 WK3'!A:A,'ME0025 WK3'!J:J),"")</f>
        <v/>
      </c>
      <c r="D17" s="120" t="str">
        <f t="shared" si="1"/>
        <v/>
      </c>
      <c r="E17" s="116" t="str">
        <f>IFERROR(_xlfn.XLOOKUP(A17,'ME0025 WK3'!A:A,'ME0025 WK3'!F:F),"")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WK3'!A:A,'QA WK3'!I:I),"")</f>
        <v/>
      </c>
      <c r="C18" s="94" t="str">
        <f>IFERROR(_xlfn.XLOOKUP(A18,'ME0025 WK3'!A:A,'ME0025 WK3'!J:J),"")</f>
        <v/>
      </c>
      <c r="D18" s="120" t="str">
        <f t="shared" si="1"/>
        <v/>
      </c>
      <c r="E18" s="116" t="str">
        <f>IFERROR(_xlfn.XLOOKUP(A18,'ME0025 WK3'!A:A,'ME0025 WK3'!F:F),"")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WK3'!A:A,'QA WK3'!I:I),"")</f>
        <v/>
      </c>
      <c r="C19" s="94" t="str">
        <f>IFERROR(_xlfn.XLOOKUP(A19,'ME0025 WK3'!A:A,'ME0025 WK3'!J:J),"")</f>
        <v/>
      </c>
      <c r="D19" s="120" t="str">
        <f t="shared" si="1"/>
        <v/>
      </c>
      <c r="E19" s="116" t="str">
        <f>IFERROR(_xlfn.XLOOKUP(A19,'ME0025 WK3'!A:A,'ME0025 WK3'!F:F),"")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WK3'!A:A,'QA WK3'!I:I),"")</f>
        <v/>
      </c>
      <c r="C20" s="94" t="str">
        <f>IFERROR(_xlfn.XLOOKUP(A20,'ME0025 WK3'!A:A,'ME0025 WK3'!J:J),"")</f>
        <v/>
      </c>
      <c r="D20" s="120" t="str">
        <f t="shared" si="1"/>
        <v/>
      </c>
      <c r="E20" s="116" t="str">
        <f>IFERROR(_xlfn.XLOOKUP(A20,'ME0025 WK3'!A:A,'ME0025 WK3'!F:F),"")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WK3'!A:A,'QA WK3'!I:I),"")</f>
        <v/>
      </c>
      <c r="C21" s="94" t="str">
        <f>IFERROR(_xlfn.XLOOKUP(A21,'ME0025 WK3'!A:A,'ME0025 WK3'!J:J),"")</f>
        <v/>
      </c>
      <c r="D21" s="120" t="str">
        <f t="shared" si="1"/>
        <v/>
      </c>
      <c r="E21" s="116" t="str">
        <f>IFERROR(_xlfn.XLOOKUP(A21,'ME0025 WK3'!A:A,'ME0025 WK3'!F:F),"")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WK3'!A:A,'QA WK3'!I:I),"")</f>
        <v/>
      </c>
      <c r="C22" s="94" t="str">
        <f>IFERROR(_xlfn.XLOOKUP(A22,'ME0025 WK3'!A:A,'ME0025 WK3'!J:J),"")</f>
        <v/>
      </c>
      <c r="D22" s="120" t="str">
        <f t="shared" si="1"/>
        <v/>
      </c>
      <c r="E22" s="116" t="str">
        <f>IFERROR(_xlfn.XLOOKUP(A22,'ME0025 WK3'!A:A,'ME0025 WK3'!F:F),"")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2" t="s">
        <v>45</v>
      </c>
      <c r="B23" s="203"/>
      <c r="C23" s="121">
        <v>3.25</v>
      </c>
      <c r="D23" s="200" t="s">
        <v>21</v>
      </c>
      <c r="E23" s="201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UMi2aOhMecc40q+h+glq7QGnDjBU4DIFU5Cvj/pc2LyxhsfQT8crd0nnF1U7EKzt26Cv6+x6UGKzPLkCB4H60A==" saltValue="pYVyeigljLOiYm9Ds2M8yQ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4E2A-19E2-4452-8286-BABD369674D1}">
  <sheetPr codeName="Sheet10">
    <tabColor rgb="FF7030A0"/>
  </sheetPr>
  <dimension ref="A1:I30"/>
  <sheetViews>
    <sheetView workbookViewId="0">
      <selection activeCell="B10" sqref="B10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51</v>
      </c>
      <c r="C1" s="111" t="s">
        <v>52</v>
      </c>
      <c r="D1" s="111" t="s">
        <v>53</v>
      </c>
      <c r="E1" s="157" t="s">
        <v>54</v>
      </c>
      <c r="F1" s="158" t="s">
        <v>55</v>
      </c>
      <c r="G1" s="158" t="s">
        <v>56</v>
      </c>
      <c r="H1" s="158" t="s">
        <v>57</v>
      </c>
      <c r="I1" s="158" t="s">
        <v>58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ClearQA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DF8D-285A-4BD4-A0E8-AF90C029D430}">
  <sheetPr codeName="Sheet40">
    <tabColor rgb="FF7030A0"/>
  </sheetPr>
  <dimension ref="A1:AB381"/>
  <sheetViews>
    <sheetView workbookViewId="0">
      <selection activeCell="A6" sqref="A6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1" bestFit="1" customWidth="1"/>
    <col min="7" max="7" width="8.90625" style="1" bestFit="1" customWidth="1"/>
    <col min="8" max="8" width="9.6328125" style="1" bestFit="1" customWidth="1"/>
    <col min="9" max="9" width="16.36328125" style="1" bestFit="1" customWidth="1"/>
    <col min="10" max="10" width="24" style="1" bestFit="1" customWidth="1"/>
    <col min="11" max="11" width="20" style="1" bestFit="1" customWidth="1"/>
    <col min="12" max="12" width="20.453125" style="1" bestFit="1" customWidth="1"/>
    <col min="13" max="13" width="23.1796875" style="1" bestFit="1" customWidth="1"/>
    <col min="14" max="14" width="16.08984375" style="1" bestFit="1" customWidth="1"/>
    <col min="15" max="27" width="9.08984375" style="1"/>
    <col min="28" max="28" width="24.453125" style="1" bestFit="1" customWidth="1"/>
    <col min="29" max="16384" width="9.08984375" style="1"/>
  </cols>
  <sheetData>
    <row r="1" spans="1:28" s="162" customFormat="1" x14ac:dyDescent="0.35">
      <c r="A1" s="159" t="s">
        <v>1</v>
      </c>
      <c r="B1" s="159" t="s">
        <v>2</v>
      </c>
      <c r="C1" s="159" t="s">
        <v>3</v>
      </c>
      <c r="D1" s="159" t="s">
        <v>10</v>
      </c>
      <c r="E1" s="159" t="s">
        <v>4</v>
      </c>
      <c r="F1" s="159" t="s">
        <v>5</v>
      </c>
      <c r="G1" s="159" t="s">
        <v>6</v>
      </c>
      <c r="H1" s="159" t="s">
        <v>59</v>
      </c>
      <c r="I1" s="160" t="s">
        <v>7</v>
      </c>
      <c r="J1" s="161" t="s">
        <v>60</v>
      </c>
      <c r="K1" s="160" t="s">
        <v>8</v>
      </c>
      <c r="L1" s="159" t="s">
        <v>9</v>
      </c>
      <c r="M1" s="159" t="s">
        <v>61</v>
      </c>
      <c r="N1" s="159" t="s">
        <v>62</v>
      </c>
      <c r="O1" s="159"/>
      <c r="P1" s="159"/>
      <c r="Q1" s="159"/>
      <c r="R1" s="159"/>
      <c r="S1" s="159"/>
      <c r="T1" s="161"/>
      <c r="U1" s="161"/>
      <c r="V1" s="159"/>
      <c r="W1" s="159"/>
      <c r="X1" s="159"/>
      <c r="Y1" s="159"/>
      <c r="Z1" s="159"/>
      <c r="AA1" s="159"/>
      <c r="AB1" s="159"/>
    </row>
    <row r="2" spans="1:28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  <c r="O2" s="25"/>
      <c r="P2" s="25"/>
      <c r="Q2" s="26"/>
      <c r="R2" s="25"/>
      <c r="S2" s="27"/>
      <c r="T2" s="28"/>
      <c r="U2" s="24"/>
      <c r="V2" s="24"/>
      <c r="W2" s="24"/>
      <c r="X2" s="24"/>
      <c r="Y2" s="24"/>
      <c r="Z2" s="24"/>
      <c r="AA2" s="24"/>
      <c r="AB2" s="29"/>
    </row>
    <row r="3" spans="1:28" ht="15" thickBot="1" x14ac:dyDescent="0.4">
      <c r="A3" s="170"/>
      <c r="B3" s="171"/>
      <c r="C3" s="13"/>
      <c r="D3" s="13"/>
      <c r="E3" s="14"/>
      <c r="F3" s="13"/>
      <c r="G3" s="14"/>
      <c r="H3" s="13"/>
      <c r="I3" s="14"/>
      <c r="J3" s="13"/>
      <c r="K3" s="13"/>
      <c r="L3" s="13"/>
      <c r="M3" s="13"/>
      <c r="N3" s="13"/>
      <c r="O3" s="15"/>
      <c r="P3" s="15"/>
      <c r="Q3" s="16"/>
      <c r="R3" s="15"/>
      <c r="S3" s="17"/>
      <c r="T3" s="18"/>
      <c r="U3" s="14"/>
      <c r="V3" s="14"/>
      <c r="W3" s="14"/>
      <c r="X3" s="14"/>
      <c r="Y3" s="14"/>
      <c r="Z3" s="14"/>
      <c r="AA3" s="14"/>
      <c r="AB3" s="19"/>
    </row>
    <row r="4" spans="1:28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  <c r="O4" s="15"/>
      <c r="P4" s="15"/>
      <c r="Q4" s="16"/>
      <c r="R4" s="15"/>
      <c r="S4" s="17"/>
      <c r="T4" s="18"/>
      <c r="U4" s="14"/>
      <c r="V4" s="14"/>
      <c r="W4" s="14"/>
      <c r="X4" s="14"/>
      <c r="Y4" s="14"/>
      <c r="Z4" s="14"/>
      <c r="AA4" s="14"/>
      <c r="AB4" s="19"/>
    </row>
    <row r="5" spans="1:28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  <c r="O5" s="15"/>
      <c r="P5" s="15"/>
      <c r="Q5" s="16"/>
      <c r="R5" s="15"/>
      <c r="S5" s="17"/>
      <c r="T5" s="18"/>
      <c r="U5" s="14"/>
      <c r="V5" s="14"/>
      <c r="W5" s="14"/>
      <c r="X5" s="14"/>
      <c r="Y5" s="14"/>
      <c r="Z5" s="14"/>
      <c r="AA5" s="14"/>
      <c r="AB5" s="19"/>
    </row>
    <row r="6" spans="1:28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  <c r="O6" s="15"/>
      <c r="P6" s="15"/>
      <c r="Q6" s="16"/>
      <c r="R6" s="15"/>
      <c r="S6" s="17"/>
      <c r="T6" s="18"/>
      <c r="U6" s="14"/>
      <c r="V6" s="14"/>
      <c r="W6" s="14"/>
      <c r="X6" s="14"/>
      <c r="Y6" s="14"/>
      <c r="Z6" s="14"/>
      <c r="AA6" s="14"/>
      <c r="AB6" s="19"/>
    </row>
    <row r="7" spans="1:28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  <c r="O7" s="15"/>
      <c r="P7" s="15"/>
      <c r="Q7" s="16"/>
      <c r="R7" s="15"/>
      <c r="S7" s="17"/>
      <c r="T7" s="18"/>
      <c r="U7" s="14"/>
      <c r="V7" s="14"/>
      <c r="W7" s="14"/>
      <c r="X7" s="14"/>
      <c r="Y7" s="14"/>
      <c r="Z7" s="14"/>
      <c r="AA7" s="14"/>
      <c r="AB7" s="19"/>
    </row>
    <row r="8" spans="1:28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  <c r="O8" s="15"/>
      <c r="P8" s="15"/>
      <c r="Q8" s="16"/>
      <c r="R8" s="15"/>
      <c r="S8" s="17"/>
      <c r="T8" s="18"/>
      <c r="U8" s="14"/>
      <c r="V8" s="14"/>
      <c r="W8" s="14"/>
      <c r="X8" s="14"/>
      <c r="Y8" s="14"/>
      <c r="Z8" s="14"/>
      <c r="AA8" s="14"/>
      <c r="AB8" s="19"/>
    </row>
    <row r="9" spans="1:28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  <c r="O9" s="15"/>
      <c r="P9" s="15"/>
      <c r="Q9" s="16"/>
      <c r="R9" s="15"/>
      <c r="S9" s="17"/>
      <c r="T9" s="18"/>
      <c r="U9" s="14"/>
      <c r="V9" s="14"/>
      <c r="W9" s="14"/>
      <c r="X9" s="14"/>
      <c r="Y9" s="14"/>
      <c r="Z9" s="14"/>
      <c r="AA9" s="14"/>
      <c r="AB9" s="19"/>
    </row>
    <row r="10" spans="1:28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  <c r="O10" s="15"/>
      <c r="P10" s="15"/>
      <c r="Q10" s="16"/>
      <c r="R10" s="15"/>
      <c r="S10" s="17"/>
      <c r="T10" s="18"/>
      <c r="U10" s="14"/>
      <c r="V10" s="14"/>
      <c r="W10" s="14"/>
      <c r="X10" s="14"/>
      <c r="Y10" s="14"/>
      <c r="Z10" s="14"/>
      <c r="AA10" s="14"/>
      <c r="AB10" s="19"/>
    </row>
    <row r="11" spans="1:28" x14ac:dyDescent="0.35">
      <c r="A11" s="4"/>
      <c r="B11" s="12"/>
      <c r="C11" s="13"/>
      <c r="D11" s="13"/>
      <c r="E11" s="14"/>
      <c r="F11" s="20"/>
      <c r="G11" s="14"/>
      <c r="H11" s="13"/>
      <c r="I11" s="14"/>
      <c r="J11" s="13"/>
      <c r="K11" s="13"/>
      <c r="L11" s="13"/>
      <c r="M11" s="13"/>
      <c r="N11" s="13"/>
      <c r="O11" s="15"/>
      <c r="P11" s="15"/>
      <c r="Q11" s="16"/>
      <c r="R11" s="15"/>
      <c r="S11" s="17"/>
      <c r="T11" s="18"/>
      <c r="U11" s="14"/>
      <c r="V11" s="14"/>
      <c r="W11" s="14"/>
      <c r="X11" s="14"/>
      <c r="Y11" s="14"/>
      <c r="Z11" s="14"/>
      <c r="AA11" s="14"/>
      <c r="AB11" s="19"/>
    </row>
    <row r="12" spans="1:28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  <c r="O12" s="15"/>
      <c r="P12" s="15"/>
      <c r="Q12" s="16"/>
      <c r="R12" s="15"/>
      <c r="S12" s="17"/>
      <c r="T12" s="18"/>
      <c r="U12" s="14"/>
      <c r="V12" s="14"/>
      <c r="W12" s="14"/>
      <c r="X12" s="14"/>
      <c r="Y12" s="14"/>
      <c r="Z12" s="14"/>
      <c r="AA12" s="14"/>
      <c r="AB12" s="19"/>
    </row>
    <row r="13" spans="1:28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  <c r="O13" s="15"/>
      <c r="P13" s="15"/>
      <c r="Q13" s="16"/>
      <c r="R13" s="15"/>
      <c r="S13" s="17"/>
      <c r="T13" s="18"/>
      <c r="U13" s="14"/>
      <c r="V13" s="14"/>
      <c r="W13" s="14"/>
      <c r="X13" s="14"/>
      <c r="Y13" s="14"/>
      <c r="Z13" s="14"/>
      <c r="AA13" s="14"/>
      <c r="AB13" s="19"/>
    </row>
    <row r="14" spans="1:28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  <c r="O14" s="15"/>
      <c r="P14" s="15"/>
      <c r="Q14" s="16"/>
      <c r="R14" s="15"/>
      <c r="S14" s="17"/>
      <c r="T14" s="18"/>
      <c r="U14" s="14"/>
      <c r="V14" s="14"/>
      <c r="W14" s="14"/>
      <c r="X14" s="14"/>
      <c r="Y14" s="14"/>
      <c r="Z14" s="14"/>
      <c r="AA14" s="14"/>
      <c r="AB14" s="19"/>
    </row>
    <row r="15" spans="1:28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  <c r="O15" s="15"/>
      <c r="P15" s="15"/>
      <c r="Q15" s="16"/>
      <c r="R15" s="15"/>
      <c r="S15" s="17"/>
      <c r="T15" s="18"/>
      <c r="U15" s="14"/>
      <c r="V15" s="14"/>
      <c r="W15" s="14"/>
      <c r="X15" s="14"/>
      <c r="Y15" s="14"/>
      <c r="Z15" s="14"/>
      <c r="AA15" s="14"/>
      <c r="AB15" s="19"/>
    </row>
    <row r="16" spans="1:28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  <c r="O16" s="15"/>
      <c r="P16" s="15"/>
      <c r="Q16" s="16"/>
      <c r="R16" s="15"/>
      <c r="S16" s="17"/>
      <c r="T16" s="18"/>
      <c r="U16" s="14"/>
      <c r="V16" s="14"/>
      <c r="W16" s="14"/>
      <c r="X16" s="14"/>
      <c r="Y16" s="14"/>
      <c r="Z16" s="14"/>
      <c r="AA16" s="14"/>
      <c r="AB16" s="19"/>
    </row>
    <row r="17" spans="1:28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  <c r="O17" s="15"/>
      <c r="P17" s="15"/>
      <c r="Q17" s="16"/>
      <c r="R17" s="15"/>
      <c r="S17" s="17"/>
      <c r="T17" s="18"/>
      <c r="U17" s="14"/>
      <c r="V17" s="14"/>
      <c r="W17" s="14"/>
      <c r="X17" s="14"/>
      <c r="Y17" s="14"/>
      <c r="Z17" s="14"/>
      <c r="AA17" s="14"/>
      <c r="AB17" s="19"/>
    </row>
    <row r="18" spans="1:28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  <c r="O18" s="15"/>
      <c r="P18" s="15"/>
      <c r="Q18" s="16"/>
      <c r="R18" s="15"/>
      <c r="S18" s="17"/>
      <c r="T18" s="18"/>
      <c r="U18" s="14"/>
      <c r="V18" s="14"/>
      <c r="W18" s="14"/>
      <c r="X18" s="14"/>
      <c r="Y18" s="14"/>
      <c r="Z18" s="14"/>
      <c r="AA18" s="14"/>
      <c r="AB18" s="19"/>
    </row>
    <row r="19" spans="1:28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  <c r="O19" s="15"/>
      <c r="P19" s="15"/>
      <c r="Q19" s="16"/>
      <c r="R19" s="15"/>
      <c r="S19" s="17"/>
      <c r="T19" s="18"/>
      <c r="U19" s="14"/>
      <c r="V19" s="14"/>
      <c r="W19" s="14"/>
      <c r="X19" s="14"/>
      <c r="Y19" s="14"/>
      <c r="Z19" s="14"/>
      <c r="AA19" s="14"/>
      <c r="AB19" s="19"/>
    </row>
    <row r="20" spans="1:28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  <c r="O20" s="15"/>
      <c r="P20" s="15"/>
      <c r="Q20" s="16"/>
      <c r="R20" s="15"/>
      <c r="S20" s="17"/>
      <c r="T20" s="18"/>
      <c r="U20" s="14"/>
      <c r="V20" s="14"/>
      <c r="W20" s="14"/>
      <c r="X20" s="14"/>
      <c r="Y20" s="14"/>
      <c r="Z20" s="14"/>
      <c r="AA20" s="14"/>
      <c r="AB20" s="19"/>
    </row>
    <row r="21" spans="1:28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  <c r="O21" s="15"/>
      <c r="P21" s="15"/>
      <c r="Q21" s="16"/>
      <c r="R21" s="15"/>
      <c r="S21" s="17"/>
      <c r="T21" s="18"/>
      <c r="U21" s="14"/>
      <c r="V21" s="14"/>
      <c r="W21" s="14"/>
      <c r="X21" s="14"/>
      <c r="Y21" s="14"/>
      <c r="Z21" s="14"/>
      <c r="AA21" s="14"/>
      <c r="AB21" s="19"/>
    </row>
    <row r="22" spans="1:28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  <c r="O22" s="15"/>
      <c r="P22" s="15"/>
      <c r="Q22" s="16"/>
      <c r="R22" s="15"/>
      <c r="S22" s="17"/>
      <c r="T22" s="18"/>
      <c r="U22" s="14"/>
      <c r="V22" s="14"/>
      <c r="W22" s="14"/>
      <c r="X22" s="14"/>
      <c r="Y22" s="14"/>
      <c r="Z22" s="14"/>
      <c r="AA22" s="14"/>
      <c r="AB22" s="19"/>
    </row>
    <row r="23" spans="1:28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  <c r="O23" s="20"/>
      <c r="P23" s="20"/>
      <c r="Q23" s="20"/>
      <c r="R23" s="20"/>
      <c r="S23" s="20"/>
      <c r="T23" s="20"/>
      <c r="U23" s="3"/>
      <c r="V23" s="3"/>
      <c r="W23" s="3"/>
      <c r="X23" s="3"/>
      <c r="Y23" s="3"/>
      <c r="Z23" s="3"/>
      <c r="AA23" s="3"/>
      <c r="AB23" s="19"/>
    </row>
    <row r="24" spans="1:28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  <c r="O24" s="20"/>
      <c r="P24" s="20"/>
      <c r="Q24" s="20"/>
      <c r="R24" s="20"/>
      <c r="S24" s="20"/>
      <c r="T24" s="20"/>
      <c r="U24" s="3"/>
      <c r="V24" s="3"/>
      <c r="W24" s="3"/>
      <c r="X24" s="3"/>
      <c r="Y24" s="3"/>
      <c r="Z24" s="3"/>
      <c r="AA24" s="3"/>
      <c r="AB24" s="19"/>
    </row>
    <row r="25" spans="1:28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  <c r="O25" s="20"/>
      <c r="P25" s="20"/>
      <c r="Q25" s="20"/>
      <c r="R25" s="20"/>
      <c r="S25" s="20"/>
      <c r="T25" s="20"/>
      <c r="U25" s="3"/>
      <c r="V25" s="3"/>
      <c r="W25" s="3"/>
      <c r="X25" s="3"/>
      <c r="Y25" s="3"/>
      <c r="Z25" s="3"/>
      <c r="AA25" s="3"/>
      <c r="AB25" s="19"/>
    </row>
    <row r="26" spans="1:28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  <c r="O26" s="20"/>
      <c r="P26" s="20"/>
      <c r="Q26" s="20"/>
      <c r="R26" s="20"/>
      <c r="S26" s="20"/>
      <c r="T26" s="20"/>
      <c r="U26" s="3"/>
      <c r="V26" s="3"/>
      <c r="W26" s="3"/>
      <c r="X26" s="3"/>
      <c r="Y26" s="3"/>
      <c r="Z26" s="3"/>
      <c r="AA26" s="3"/>
      <c r="AB26" s="19"/>
    </row>
    <row r="27" spans="1:28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  <c r="O27" s="20"/>
      <c r="P27" s="20"/>
      <c r="Q27" s="20"/>
      <c r="R27" s="20"/>
      <c r="S27" s="20"/>
      <c r="T27" s="20"/>
      <c r="U27" s="3"/>
      <c r="V27" s="3"/>
      <c r="W27" s="3"/>
      <c r="X27" s="3"/>
      <c r="Y27" s="3"/>
      <c r="Z27" s="3"/>
      <c r="AA27" s="3"/>
      <c r="AB27" s="36"/>
    </row>
    <row r="28" spans="1:28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  <c r="O28" s="20"/>
      <c r="P28" s="20"/>
      <c r="Q28" s="20"/>
      <c r="R28" s="20"/>
      <c r="S28" s="20"/>
      <c r="T28" s="20"/>
      <c r="U28" s="3"/>
      <c r="V28" s="3"/>
      <c r="W28" s="3"/>
      <c r="X28" s="3"/>
      <c r="Y28" s="3"/>
      <c r="Z28" s="3"/>
      <c r="AA28" s="3"/>
      <c r="AB28" s="36"/>
    </row>
    <row r="29" spans="1:28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  <c r="O29" s="20"/>
      <c r="P29" s="20"/>
      <c r="Q29" s="20"/>
      <c r="R29" s="20"/>
      <c r="S29" s="20"/>
      <c r="T29" s="20"/>
      <c r="U29" s="3"/>
      <c r="V29" s="3"/>
      <c r="W29" s="3"/>
      <c r="X29" s="3"/>
      <c r="Y29" s="3"/>
      <c r="Z29" s="3"/>
      <c r="AA29" s="3"/>
      <c r="AB29" s="19"/>
    </row>
    <row r="30" spans="1:28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  <c r="O30" s="20"/>
      <c r="P30" s="20"/>
      <c r="Q30" s="20"/>
      <c r="R30" s="20"/>
      <c r="S30" s="20"/>
      <c r="T30" s="20"/>
      <c r="U30" s="3"/>
      <c r="V30" s="3"/>
      <c r="W30" s="3"/>
      <c r="X30" s="3"/>
      <c r="Y30" s="3"/>
      <c r="Z30" s="3"/>
      <c r="AA30" s="3"/>
      <c r="AB30" s="19"/>
    </row>
    <row r="31" spans="1:28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  <c r="O31" s="20"/>
      <c r="P31" s="20"/>
      <c r="Q31" s="20"/>
      <c r="R31" s="20"/>
      <c r="S31" s="20"/>
      <c r="T31" s="20"/>
      <c r="U31" s="3"/>
      <c r="V31" s="3"/>
      <c r="W31" s="3"/>
      <c r="X31" s="3"/>
      <c r="Y31" s="3"/>
      <c r="Z31" s="3"/>
      <c r="AA31" s="3"/>
      <c r="AB31" s="19"/>
    </row>
    <row r="32" spans="1:28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  <c r="O32" s="20"/>
      <c r="P32" s="20"/>
      <c r="Q32" s="20"/>
      <c r="R32" s="20"/>
      <c r="S32" s="20"/>
      <c r="T32" s="20"/>
      <c r="U32" s="3"/>
      <c r="V32" s="3"/>
      <c r="W32" s="3"/>
      <c r="X32" s="3"/>
      <c r="Y32" s="3"/>
      <c r="Z32" s="3"/>
      <c r="AA32" s="3"/>
      <c r="AB32" s="19"/>
    </row>
    <row r="33" spans="1:28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  <c r="O33" s="20"/>
      <c r="P33" s="20"/>
      <c r="Q33" s="20"/>
      <c r="R33" s="20"/>
      <c r="S33" s="20"/>
      <c r="T33" s="20"/>
      <c r="U33" s="3"/>
      <c r="V33" s="3"/>
      <c r="W33" s="3"/>
      <c r="X33" s="3"/>
      <c r="Y33" s="3"/>
      <c r="Z33" s="3"/>
      <c r="AA33" s="3"/>
      <c r="AB33" s="19"/>
    </row>
    <row r="34" spans="1:28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  <c r="O34" s="20"/>
      <c r="P34" s="20"/>
      <c r="Q34" s="20"/>
      <c r="R34" s="20"/>
      <c r="S34" s="20"/>
      <c r="T34" s="20"/>
      <c r="U34" s="3"/>
      <c r="V34" s="3"/>
      <c r="W34" s="3"/>
      <c r="X34" s="3"/>
      <c r="Y34" s="3"/>
      <c r="Z34" s="3"/>
      <c r="AA34" s="3"/>
      <c r="AB34" s="36"/>
    </row>
    <row r="35" spans="1:28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  <c r="O35" s="20"/>
      <c r="P35" s="20"/>
      <c r="Q35" s="20"/>
      <c r="R35" s="20"/>
      <c r="S35" s="20"/>
      <c r="T35" s="20"/>
      <c r="U35" s="3"/>
      <c r="V35" s="3"/>
      <c r="W35" s="3"/>
      <c r="X35" s="3"/>
      <c r="Y35" s="3"/>
      <c r="Z35" s="3"/>
      <c r="AA35" s="3"/>
      <c r="AB35" s="36"/>
    </row>
    <row r="36" spans="1:28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  <c r="O36" s="20"/>
      <c r="P36" s="20"/>
      <c r="Q36" s="20"/>
      <c r="R36" s="20"/>
      <c r="S36" s="20"/>
      <c r="T36" s="20"/>
      <c r="U36" s="3"/>
      <c r="V36" s="3"/>
      <c r="W36" s="3"/>
      <c r="X36" s="3"/>
      <c r="Y36" s="3"/>
      <c r="Z36" s="3"/>
      <c r="AA36" s="3"/>
      <c r="AB36" s="36"/>
    </row>
    <row r="37" spans="1:28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  <c r="O37" s="22"/>
      <c r="P37" s="22"/>
      <c r="Q37" s="22"/>
      <c r="R37" s="22"/>
      <c r="S37" s="22"/>
      <c r="T37" s="22"/>
      <c r="U37" s="38"/>
      <c r="V37" s="38"/>
      <c r="W37" s="38"/>
      <c r="X37" s="38"/>
      <c r="Y37" s="38"/>
      <c r="Z37" s="38"/>
      <c r="AA37" s="38"/>
      <c r="AB37" s="39"/>
    </row>
    <row r="38" spans="1:28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  <c r="U38" s="2"/>
      <c r="V38" s="2"/>
      <c r="W38" s="2"/>
      <c r="X38" s="2"/>
      <c r="Y38" s="2"/>
      <c r="Z38" s="2"/>
      <c r="AA38" s="2"/>
      <c r="AB38" s="40"/>
    </row>
    <row r="39" spans="1:28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  <c r="U39" s="2"/>
      <c r="V39" s="2"/>
      <c r="W39" s="2"/>
      <c r="X39" s="2"/>
      <c r="Y39" s="2"/>
      <c r="Z39" s="2"/>
      <c r="AA39" s="2"/>
      <c r="AB39" s="41"/>
    </row>
    <row r="40" spans="1:28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  <c r="U40" s="2"/>
      <c r="V40" s="2"/>
      <c r="W40" s="2"/>
      <c r="X40" s="2"/>
      <c r="Y40" s="2"/>
      <c r="Z40" s="2"/>
      <c r="AA40" s="2"/>
      <c r="AB40" s="40"/>
    </row>
    <row r="41" spans="1:28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  <c r="U41" s="2"/>
      <c r="V41" s="2"/>
      <c r="W41" s="2"/>
      <c r="X41" s="2"/>
      <c r="Y41" s="2"/>
      <c r="Z41" s="2"/>
      <c r="AA41" s="2"/>
      <c r="AB41" s="41"/>
    </row>
    <row r="42" spans="1:28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  <c r="U42" s="2"/>
      <c r="V42" s="2"/>
      <c r="W42" s="2"/>
      <c r="X42" s="2"/>
      <c r="Y42" s="2"/>
      <c r="Z42" s="2"/>
      <c r="AA42" s="2"/>
      <c r="AB42" s="40"/>
    </row>
    <row r="43" spans="1:28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  <c r="U43" s="2"/>
      <c r="V43" s="2"/>
      <c r="W43" s="2"/>
      <c r="X43" s="2"/>
      <c r="Y43" s="2"/>
      <c r="Z43" s="2"/>
      <c r="AA43" s="2"/>
      <c r="AB43" s="41"/>
    </row>
    <row r="44" spans="1:28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  <c r="U44" s="2"/>
      <c r="V44" s="2"/>
      <c r="W44" s="2"/>
      <c r="X44" s="2"/>
      <c r="Y44" s="2"/>
      <c r="Z44" s="2"/>
      <c r="AA44" s="2"/>
      <c r="AB44" s="40"/>
    </row>
    <row r="45" spans="1:28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  <c r="U45" s="2"/>
      <c r="V45" s="2"/>
      <c r="W45" s="2"/>
      <c r="X45" s="2"/>
      <c r="Y45" s="2"/>
      <c r="Z45" s="2"/>
      <c r="AA45" s="2"/>
      <c r="AB45" s="40"/>
    </row>
    <row r="46" spans="1:28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  <c r="U46" s="2"/>
      <c r="V46" s="2"/>
      <c r="W46" s="2"/>
      <c r="X46" s="2"/>
      <c r="Y46" s="2"/>
      <c r="Z46" s="2"/>
      <c r="AA46" s="2"/>
      <c r="AB46" s="40"/>
    </row>
    <row r="47" spans="1:28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  <c r="U47" s="2"/>
      <c r="V47" s="2"/>
      <c r="W47" s="2"/>
      <c r="X47" s="2"/>
      <c r="Y47" s="2"/>
      <c r="Z47" s="2"/>
      <c r="AA47" s="2"/>
      <c r="AB47" s="41"/>
    </row>
    <row r="48" spans="1:28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  <c r="U48" s="2"/>
      <c r="V48" s="2"/>
      <c r="W48" s="2"/>
      <c r="X48" s="2"/>
      <c r="Y48" s="2"/>
      <c r="Z48" s="2"/>
      <c r="AA48" s="2"/>
      <c r="AB48" s="40"/>
    </row>
    <row r="49" spans="2:28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  <c r="U49" s="2"/>
      <c r="V49" s="2"/>
      <c r="W49" s="2"/>
      <c r="X49" s="2"/>
      <c r="Y49" s="2"/>
      <c r="Z49" s="2"/>
      <c r="AA49" s="2"/>
      <c r="AB49" s="40"/>
    </row>
    <row r="50" spans="2:28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  <c r="U50" s="2"/>
      <c r="V50" s="2"/>
      <c r="W50" s="2"/>
      <c r="X50" s="2"/>
      <c r="Y50" s="2"/>
      <c r="Z50" s="2"/>
      <c r="AA50" s="2"/>
      <c r="AB50" s="41"/>
    </row>
    <row r="51" spans="2:28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  <c r="U51" s="2"/>
      <c r="V51" s="2"/>
      <c r="W51" s="2"/>
      <c r="X51" s="2"/>
      <c r="Y51" s="2"/>
      <c r="Z51" s="2"/>
      <c r="AA51" s="2"/>
      <c r="AB51" s="40"/>
    </row>
    <row r="52" spans="2:28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  <c r="U52" s="2"/>
      <c r="V52" s="2"/>
      <c r="W52" s="2"/>
      <c r="X52" s="2"/>
      <c r="Y52" s="2"/>
      <c r="Z52" s="2"/>
      <c r="AA52" s="2"/>
      <c r="AB52" s="40"/>
    </row>
    <row r="53" spans="2:28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  <c r="U53" s="2"/>
      <c r="V53" s="2"/>
      <c r="W53" s="2"/>
      <c r="X53" s="2"/>
      <c r="Y53" s="2"/>
      <c r="Z53" s="2"/>
      <c r="AA53" s="2"/>
      <c r="AB53" s="41"/>
    </row>
    <row r="54" spans="2:28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  <c r="U54" s="2"/>
      <c r="V54" s="2"/>
      <c r="W54" s="2"/>
      <c r="X54" s="2"/>
      <c r="Y54" s="2"/>
      <c r="Z54" s="2"/>
      <c r="AA54" s="2"/>
      <c r="AB54" s="41"/>
    </row>
    <row r="55" spans="2:28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  <c r="U55" s="2"/>
      <c r="V55" s="2"/>
      <c r="W55" s="2"/>
      <c r="X55" s="2"/>
      <c r="Y55" s="2"/>
      <c r="Z55" s="2"/>
      <c r="AA55" s="2"/>
      <c r="AB55" s="40"/>
    </row>
    <row r="56" spans="2:28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  <c r="U56" s="2"/>
      <c r="V56" s="2"/>
      <c r="W56" s="2"/>
      <c r="X56" s="2"/>
      <c r="Y56" s="2"/>
      <c r="Z56" s="2"/>
      <c r="AA56" s="2"/>
      <c r="AB56" s="41"/>
    </row>
    <row r="57" spans="2:28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  <c r="U57" s="2"/>
      <c r="V57" s="2"/>
      <c r="W57" s="2"/>
      <c r="X57" s="2"/>
      <c r="Y57" s="2"/>
      <c r="Z57" s="2"/>
      <c r="AA57" s="2"/>
      <c r="AB57" s="40"/>
    </row>
    <row r="58" spans="2:28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  <c r="U58" s="2"/>
      <c r="V58" s="2"/>
      <c r="W58" s="2"/>
      <c r="X58" s="2"/>
      <c r="Y58" s="2"/>
      <c r="Z58" s="2"/>
      <c r="AA58" s="2"/>
      <c r="AB58" s="41"/>
    </row>
    <row r="59" spans="2:28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  <c r="U59" s="2"/>
      <c r="V59" s="2"/>
      <c r="W59" s="2"/>
      <c r="X59" s="2"/>
      <c r="Y59" s="2"/>
      <c r="Z59" s="2"/>
      <c r="AA59" s="2"/>
      <c r="AB59" s="40"/>
    </row>
    <row r="60" spans="2:28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  <c r="U60" s="2"/>
      <c r="V60" s="2"/>
      <c r="W60" s="2"/>
      <c r="X60" s="2"/>
      <c r="Y60" s="2"/>
      <c r="Z60" s="2"/>
      <c r="AA60" s="2"/>
      <c r="AB60" s="40"/>
    </row>
    <row r="61" spans="2:28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  <c r="U61" s="2"/>
      <c r="V61" s="2"/>
      <c r="W61" s="2"/>
      <c r="X61" s="2"/>
      <c r="Y61" s="2"/>
      <c r="Z61" s="2"/>
      <c r="AA61" s="2"/>
      <c r="AB61" s="40"/>
    </row>
    <row r="62" spans="2:28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  <c r="U62" s="2"/>
      <c r="V62" s="2"/>
      <c r="W62" s="2"/>
      <c r="X62" s="2"/>
      <c r="Y62" s="2"/>
      <c r="Z62" s="2"/>
      <c r="AA62" s="2"/>
      <c r="AB62" s="41"/>
    </row>
    <row r="63" spans="2:28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  <c r="U63" s="2"/>
      <c r="V63" s="2"/>
      <c r="W63" s="2"/>
      <c r="X63" s="2"/>
      <c r="Y63" s="2"/>
      <c r="Z63" s="2"/>
      <c r="AA63" s="2"/>
      <c r="AB63" s="40"/>
    </row>
    <row r="64" spans="2:28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  <c r="U64" s="2"/>
      <c r="V64" s="2"/>
      <c r="W64" s="2"/>
      <c r="X64" s="2"/>
      <c r="Y64" s="2"/>
      <c r="Z64" s="2"/>
      <c r="AA64" s="2"/>
      <c r="AB64" s="40"/>
    </row>
    <row r="65" spans="2:28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  <c r="U65" s="2"/>
      <c r="V65" s="2"/>
      <c r="W65" s="2"/>
      <c r="X65" s="2"/>
      <c r="Y65" s="2"/>
      <c r="Z65" s="2"/>
      <c r="AA65" s="2"/>
      <c r="AB65" s="41"/>
    </row>
    <row r="66" spans="2:28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  <c r="U66" s="2"/>
      <c r="V66" s="2"/>
      <c r="W66" s="2"/>
      <c r="X66" s="2"/>
      <c r="Y66" s="2"/>
      <c r="Z66" s="2"/>
      <c r="AA66" s="2"/>
      <c r="AB66" s="40"/>
    </row>
    <row r="67" spans="2:28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  <c r="U67" s="2"/>
      <c r="V67" s="2"/>
      <c r="W67" s="2"/>
      <c r="X67" s="2"/>
      <c r="Y67" s="2"/>
      <c r="Z67" s="2"/>
      <c r="AA67" s="2"/>
      <c r="AB67" s="40"/>
    </row>
    <row r="68" spans="2:28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  <c r="U68" s="2"/>
      <c r="V68" s="2"/>
      <c r="W68" s="2"/>
      <c r="X68" s="2"/>
      <c r="Y68" s="2"/>
      <c r="Z68" s="2"/>
      <c r="AA68" s="2"/>
      <c r="AB68" s="40"/>
    </row>
    <row r="69" spans="2:28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  <c r="U69" s="2"/>
      <c r="V69" s="2"/>
      <c r="W69" s="2"/>
      <c r="X69" s="2"/>
      <c r="Y69" s="2"/>
      <c r="Z69" s="2"/>
      <c r="AA69" s="2"/>
      <c r="AB69" s="40"/>
    </row>
    <row r="70" spans="2:28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  <c r="U70" s="2"/>
      <c r="V70" s="2"/>
      <c r="W70" s="2"/>
      <c r="X70" s="2"/>
      <c r="Y70" s="2"/>
      <c r="Z70" s="2"/>
      <c r="AA70" s="2"/>
      <c r="AB70" s="41"/>
    </row>
    <row r="71" spans="2:28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  <c r="U71" s="2"/>
      <c r="V71" s="2"/>
      <c r="W71" s="2"/>
      <c r="X71" s="2"/>
      <c r="Y71" s="2"/>
      <c r="Z71" s="2"/>
      <c r="AA71" s="2"/>
      <c r="AB71" s="41"/>
    </row>
    <row r="72" spans="2:28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  <c r="U72" s="2"/>
      <c r="V72" s="2"/>
      <c r="W72" s="2"/>
      <c r="X72" s="2"/>
      <c r="Y72" s="2"/>
      <c r="Z72" s="2"/>
      <c r="AA72" s="2"/>
      <c r="AB72" s="40"/>
    </row>
    <row r="73" spans="2:28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  <c r="U73" s="2"/>
      <c r="V73" s="2"/>
      <c r="W73" s="2"/>
      <c r="X73" s="2"/>
      <c r="Y73" s="2"/>
      <c r="Z73" s="2"/>
      <c r="AA73" s="2"/>
      <c r="AB73" s="40"/>
    </row>
    <row r="74" spans="2:28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  <c r="U74" s="2"/>
      <c r="V74" s="2"/>
      <c r="W74" s="2"/>
      <c r="X74" s="2"/>
      <c r="Y74" s="2"/>
      <c r="Z74" s="2"/>
      <c r="AA74" s="2"/>
      <c r="AB74" s="41"/>
    </row>
    <row r="75" spans="2:28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  <c r="U75" s="2"/>
      <c r="V75" s="2"/>
      <c r="W75" s="2"/>
      <c r="X75" s="2"/>
      <c r="Y75" s="2"/>
      <c r="Z75" s="2"/>
      <c r="AA75" s="2"/>
      <c r="AB75" s="41"/>
    </row>
    <row r="76" spans="2:28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  <c r="U76" s="2"/>
      <c r="V76" s="2"/>
      <c r="W76" s="2"/>
      <c r="X76" s="2"/>
      <c r="Y76" s="2"/>
      <c r="Z76" s="2"/>
      <c r="AA76" s="2"/>
      <c r="AB76" s="40"/>
    </row>
    <row r="77" spans="2:28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  <c r="U77" s="2"/>
      <c r="V77" s="2"/>
      <c r="W77" s="2"/>
      <c r="X77" s="2"/>
      <c r="Y77" s="2"/>
      <c r="Z77" s="2"/>
      <c r="AA77" s="2"/>
      <c r="AB77" s="41"/>
    </row>
    <row r="78" spans="2:28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  <c r="U78" s="2"/>
      <c r="V78" s="2"/>
      <c r="W78" s="2"/>
      <c r="X78" s="2"/>
      <c r="Y78" s="2"/>
      <c r="Z78" s="2"/>
      <c r="AA78" s="2"/>
      <c r="AB78" s="40"/>
    </row>
    <row r="79" spans="2:28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  <c r="U79" s="2"/>
      <c r="V79" s="2"/>
      <c r="W79" s="2"/>
      <c r="X79" s="2"/>
      <c r="Y79" s="2"/>
      <c r="Z79" s="2"/>
      <c r="AA79" s="2"/>
      <c r="AB79" s="41"/>
    </row>
    <row r="80" spans="2:28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  <c r="U80" s="2"/>
      <c r="V80" s="2"/>
      <c r="W80" s="2"/>
      <c r="X80" s="2"/>
      <c r="Y80" s="2"/>
      <c r="Z80" s="2"/>
      <c r="AA80" s="2"/>
      <c r="AB80" s="40"/>
    </row>
    <row r="81" spans="2:28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  <c r="U81" s="2"/>
      <c r="V81" s="2"/>
      <c r="W81" s="2"/>
      <c r="X81" s="2"/>
      <c r="Y81" s="2"/>
      <c r="Z81" s="2"/>
      <c r="AA81" s="2"/>
      <c r="AB81" s="40"/>
    </row>
    <row r="82" spans="2:28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  <c r="U82" s="2"/>
      <c r="V82" s="2"/>
      <c r="W82" s="2"/>
      <c r="X82" s="2"/>
      <c r="Y82" s="2"/>
      <c r="Z82" s="2"/>
      <c r="AA82" s="2"/>
      <c r="AB82" s="41"/>
    </row>
    <row r="83" spans="2:28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  <c r="U83" s="2"/>
      <c r="V83" s="2"/>
      <c r="W83" s="2"/>
      <c r="X83" s="2"/>
      <c r="Y83" s="2"/>
      <c r="Z83" s="2"/>
      <c r="AA83" s="2"/>
      <c r="AB83" s="41"/>
    </row>
    <row r="84" spans="2:28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  <c r="U84" s="2"/>
      <c r="V84" s="2"/>
      <c r="W84" s="2"/>
      <c r="X84" s="2"/>
      <c r="Y84" s="2"/>
      <c r="Z84" s="2"/>
      <c r="AA84" s="2"/>
      <c r="AB84" s="40"/>
    </row>
    <row r="85" spans="2:28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  <c r="U85" s="2"/>
      <c r="V85" s="2"/>
      <c r="W85" s="2"/>
      <c r="X85" s="2"/>
      <c r="Y85" s="2"/>
      <c r="Z85" s="2"/>
      <c r="AA85" s="2"/>
      <c r="AB85" s="40"/>
    </row>
    <row r="86" spans="2:28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  <c r="U86" s="2"/>
      <c r="V86" s="2"/>
      <c r="W86" s="2"/>
      <c r="X86" s="2"/>
      <c r="Y86" s="2"/>
      <c r="Z86" s="2"/>
      <c r="AA86" s="2"/>
      <c r="AB86" s="41"/>
    </row>
    <row r="87" spans="2:28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  <c r="U87" s="2"/>
      <c r="V87" s="2"/>
      <c r="W87" s="2"/>
      <c r="X87" s="2"/>
      <c r="Y87" s="2"/>
      <c r="Z87" s="2"/>
      <c r="AA87" s="2"/>
      <c r="AB87" s="41"/>
    </row>
    <row r="88" spans="2:28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  <c r="U88" s="2"/>
      <c r="V88" s="2"/>
      <c r="W88" s="2"/>
      <c r="X88" s="2"/>
      <c r="Y88" s="2"/>
      <c r="Z88" s="2"/>
      <c r="AA88" s="2"/>
      <c r="AB88" s="40"/>
    </row>
    <row r="89" spans="2:28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  <c r="U89" s="2"/>
      <c r="V89" s="2"/>
      <c r="W89" s="2"/>
      <c r="X89" s="2"/>
      <c r="Y89" s="2"/>
      <c r="Z89" s="2"/>
      <c r="AA89" s="2"/>
      <c r="AB89" s="41"/>
    </row>
    <row r="90" spans="2:28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  <c r="U90" s="2"/>
      <c r="V90" s="2"/>
      <c r="W90" s="2"/>
      <c r="X90" s="2"/>
      <c r="Y90" s="2"/>
      <c r="Z90" s="2"/>
      <c r="AA90" s="2"/>
      <c r="AB90" s="41"/>
    </row>
    <row r="91" spans="2:28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  <c r="U91" s="2"/>
      <c r="V91" s="2"/>
      <c r="W91" s="2"/>
      <c r="X91" s="2"/>
      <c r="Y91" s="2"/>
      <c r="Z91" s="2"/>
      <c r="AA91" s="2"/>
      <c r="AB91" s="41"/>
    </row>
    <row r="92" spans="2:28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  <c r="U92" s="2"/>
      <c r="V92" s="2"/>
      <c r="W92" s="2"/>
      <c r="X92" s="2"/>
      <c r="Y92" s="2"/>
      <c r="Z92" s="2"/>
      <c r="AA92" s="2"/>
      <c r="AB92" s="41"/>
    </row>
    <row r="93" spans="2:28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  <c r="U93" s="2"/>
      <c r="V93" s="2"/>
      <c r="W93" s="2"/>
      <c r="X93" s="2"/>
      <c r="Y93" s="2"/>
      <c r="Z93" s="2"/>
      <c r="AA93" s="2"/>
      <c r="AB93" s="40"/>
    </row>
    <row r="94" spans="2:28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  <c r="U94" s="2"/>
      <c r="V94" s="2"/>
      <c r="W94" s="2"/>
      <c r="X94" s="2"/>
      <c r="Y94" s="2"/>
      <c r="Z94" s="2"/>
      <c r="AA94" s="2"/>
      <c r="AB94" s="40"/>
    </row>
    <row r="95" spans="2:28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  <c r="U95" s="2"/>
      <c r="V95" s="2"/>
      <c r="W95" s="2"/>
      <c r="X95" s="2"/>
      <c r="Y95" s="2"/>
      <c r="Z95" s="2"/>
      <c r="AA95" s="2"/>
      <c r="AB95" s="40"/>
    </row>
    <row r="96" spans="2:28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  <c r="U96" s="2"/>
      <c r="V96" s="2"/>
      <c r="W96" s="2"/>
      <c r="X96" s="2"/>
      <c r="Y96" s="2"/>
      <c r="Z96" s="2"/>
      <c r="AA96" s="2"/>
      <c r="AB96" s="41"/>
    </row>
    <row r="97" spans="2:28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  <c r="U97" s="2"/>
      <c r="V97" s="2"/>
      <c r="W97" s="2"/>
      <c r="X97" s="2"/>
      <c r="Y97" s="2"/>
      <c r="Z97" s="2"/>
      <c r="AA97" s="2"/>
      <c r="AB97" s="40"/>
    </row>
    <row r="98" spans="2:28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  <c r="U98" s="2"/>
      <c r="V98" s="2"/>
      <c r="W98" s="2"/>
      <c r="X98" s="2"/>
      <c r="Y98" s="2"/>
      <c r="Z98" s="2"/>
      <c r="AA98" s="2"/>
      <c r="AB98" s="41"/>
    </row>
    <row r="99" spans="2:28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  <c r="U99" s="2"/>
      <c r="V99" s="2"/>
      <c r="W99" s="2"/>
      <c r="X99" s="2"/>
      <c r="Y99" s="2"/>
      <c r="Z99" s="2"/>
      <c r="AA99" s="2"/>
      <c r="AB99" s="41"/>
    </row>
    <row r="100" spans="2:28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  <c r="U100" s="2"/>
      <c r="V100" s="2"/>
      <c r="W100" s="2"/>
      <c r="X100" s="2"/>
      <c r="Y100" s="2"/>
      <c r="Z100" s="2"/>
      <c r="AA100" s="2"/>
      <c r="AB100" s="41"/>
    </row>
    <row r="101" spans="2:28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  <c r="U101" s="2"/>
      <c r="V101" s="2"/>
      <c r="W101" s="2"/>
      <c r="X101" s="2"/>
      <c r="Y101" s="2"/>
      <c r="Z101" s="2"/>
      <c r="AA101" s="2"/>
      <c r="AB101" s="41"/>
    </row>
    <row r="102" spans="2:28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  <c r="U102" s="2"/>
      <c r="V102" s="2"/>
      <c r="W102" s="2"/>
      <c r="X102" s="2"/>
      <c r="Y102" s="2"/>
      <c r="Z102" s="2"/>
      <c r="AA102" s="2"/>
      <c r="AB102" s="41"/>
    </row>
    <row r="103" spans="2:28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  <c r="U103" s="2"/>
      <c r="V103" s="2"/>
      <c r="W103" s="2"/>
      <c r="X103" s="2"/>
      <c r="Y103" s="2"/>
      <c r="Z103" s="2"/>
      <c r="AA103" s="2"/>
      <c r="AB103" s="41"/>
    </row>
    <row r="104" spans="2:28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  <c r="U104" s="2"/>
      <c r="V104" s="2"/>
      <c r="W104" s="2"/>
      <c r="X104" s="2"/>
      <c r="Y104" s="2"/>
      <c r="Z104" s="2"/>
      <c r="AA104" s="2"/>
      <c r="AB104" s="40"/>
    </row>
    <row r="105" spans="2:28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  <c r="U105" s="2"/>
      <c r="V105" s="2"/>
      <c r="W105" s="2"/>
      <c r="X105" s="2"/>
      <c r="Y105" s="2"/>
      <c r="Z105" s="2"/>
      <c r="AA105" s="2"/>
      <c r="AB105" s="41"/>
    </row>
    <row r="106" spans="2:28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  <c r="U106" s="2"/>
      <c r="V106" s="2"/>
      <c r="W106" s="2"/>
      <c r="X106" s="2"/>
      <c r="Y106" s="2"/>
      <c r="Z106" s="2"/>
      <c r="AA106" s="2"/>
      <c r="AB106" s="40"/>
    </row>
    <row r="107" spans="2:28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  <c r="U107" s="2"/>
      <c r="V107" s="2"/>
      <c r="W107" s="2"/>
      <c r="X107" s="2"/>
      <c r="Y107" s="2"/>
      <c r="Z107" s="2"/>
      <c r="AA107" s="2"/>
      <c r="AB107" s="40"/>
    </row>
    <row r="108" spans="2:28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  <c r="U108" s="2"/>
      <c r="V108" s="2"/>
      <c r="W108" s="2"/>
      <c r="X108" s="2"/>
      <c r="Y108" s="2"/>
      <c r="Z108" s="2"/>
      <c r="AA108" s="2"/>
      <c r="AB108" s="41"/>
    </row>
    <row r="109" spans="2:28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  <c r="U109" s="2"/>
      <c r="V109" s="2"/>
      <c r="W109" s="2"/>
      <c r="X109" s="2"/>
      <c r="Y109" s="2"/>
      <c r="Z109" s="2"/>
      <c r="AA109" s="2"/>
      <c r="AB109" s="40"/>
    </row>
    <row r="110" spans="2:28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  <c r="U110" s="2"/>
      <c r="V110" s="2"/>
      <c r="W110" s="2"/>
      <c r="X110" s="2"/>
      <c r="Y110" s="2"/>
      <c r="Z110" s="2"/>
      <c r="AA110" s="2"/>
      <c r="AB110" s="41"/>
    </row>
    <row r="111" spans="2:28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  <c r="U111" s="2"/>
      <c r="V111" s="2"/>
      <c r="W111" s="2"/>
      <c r="X111" s="2"/>
      <c r="Y111" s="2"/>
      <c r="Z111" s="2"/>
      <c r="AA111" s="2"/>
      <c r="AB111" s="40"/>
    </row>
    <row r="112" spans="2:28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  <c r="U112" s="2"/>
      <c r="V112" s="2"/>
      <c r="W112" s="2"/>
      <c r="X112" s="2"/>
      <c r="Y112" s="2"/>
      <c r="Z112" s="2"/>
      <c r="AA112" s="2"/>
      <c r="AB112" s="40"/>
    </row>
    <row r="113" spans="2:28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  <c r="U113" s="2"/>
      <c r="V113" s="2"/>
      <c r="W113" s="2"/>
      <c r="X113" s="2"/>
      <c r="Y113" s="2"/>
      <c r="Z113" s="2"/>
      <c r="AA113" s="2"/>
      <c r="AB113" s="40"/>
    </row>
    <row r="114" spans="2:28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  <c r="U114" s="2"/>
      <c r="V114" s="2"/>
      <c r="W114" s="2"/>
      <c r="X114" s="2"/>
      <c r="Y114" s="2"/>
      <c r="Z114" s="2"/>
      <c r="AA114" s="2"/>
      <c r="AB114" s="40"/>
    </row>
    <row r="115" spans="2:28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  <c r="U115" s="2"/>
      <c r="V115" s="2"/>
      <c r="W115" s="2"/>
      <c r="X115" s="2"/>
      <c r="Y115" s="2"/>
      <c r="Z115" s="2"/>
      <c r="AA115" s="2"/>
      <c r="AB115" s="40"/>
    </row>
    <row r="116" spans="2:28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  <c r="U116" s="2"/>
      <c r="V116" s="2"/>
      <c r="W116" s="2"/>
      <c r="X116" s="2"/>
      <c r="Y116" s="2"/>
      <c r="Z116" s="2"/>
      <c r="AA116" s="2"/>
      <c r="AB116" s="41"/>
    </row>
    <row r="117" spans="2:28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  <c r="U117" s="2"/>
      <c r="V117" s="2"/>
      <c r="W117" s="2"/>
      <c r="X117" s="2"/>
      <c r="Y117" s="2"/>
      <c r="Z117" s="2"/>
      <c r="AA117" s="2"/>
      <c r="AB117" s="41"/>
    </row>
    <row r="118" spans="2:28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  <c r="U118" s="2"/>
      <c r="V118" s="2"/>
      <c r="W118" s="2"/>
      <c r="X118" s="2"/>
      <c r="Y118" s="2"/>
      <c r="Z118" s="2"/>
      <c r="AA118" s="2"/>
      <c r="AB118" s="41"/>
    </row>
    <row r="119" spans="2:28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  <c r="U119" s="2"/>
      <c r="V119" s="2"/>
      <c r="W119" s="2"/>
      <c r="X119" s="2"/>
      <c r="Y119" s="2"/>
      <c r="Z119" s="2"/>
      <c r="AA119" s="2"/>
      <c r="AB119" s="41"/>
    </row>
    <row r="120" spans="2:28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  <c r="U120" s="2"/>
      <c r="V120" s="2"/>
      <c r="W120" s="2"/>
      <c r="X120" s="2"/>
      <c r="Y120" s="2"/>
      <c r="Z120" s="2"/>
      <c r="AA120" s="2"/>
      <c r="AB120" s="41"/>
    </row>
    <row r="121" spans="2:28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  <c r="U121" s="2"/>
      <c r="V121" s="2"/>
      <c r="W121" s="2"/>
      <c r="X121" s="2"/>
      <c r="Y121" s="2"/>
      <c r="Z121" s="2"/>
      <c r="AA121" s="2"/>
      <c r="AB121" s="41"/>
    </row>
    <row r="122" spans="2:28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  <c r="U122" s="2"/>
      <c r="V122" s="2"/>
      <c r="W122" s="2"/>
      <c r="X122" s="2"/>
      <c r="Y122" s="2"/>
      <c r="Z122" s="2"/>
      <c r="AA122" s="2"/>
      <c r="AB122" s="41"/>
    </row>
    <row r="123" spans="2:28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  <c r="U123" s="2"/>
      <c r="V123" s="2"/>
      <c r="W123" s="2"/>
      <c r="X123" s="2"/>
      <c r="Y123" s="2"/>
      <c r="Z123" s="2"/>
      <c r="AA123" s="2"/>
      <c r="AB123" s="41"/>
    </row>
    <row r="124" spans="2:28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  <c r="U124" s="2"/>
      <c r="V124" s="2"/>
      <c r="W124" s="2"/>
      <c r="X124" s="2"/>
      <c r="Y124" s="2"/>
      <c r="Z124" s="2"/>
      <c r="AA124" s="2"/>
      <c r="AB124" s="41"/>
    </row>
    <row r="125" spans="2:28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  <c r="U125" s="2"/>
      <c r="V125" s="2"/>
      <c r="W125" s="2"/>
      <c r="X125" s="2"/>
      <c r="Y125" s="2"/>
      <c r="Z125" s="2"/>
      <c r="AA125" s="2"/>
      <c r="AB125" s="40"/>
    </row>
    <row r="126" spans="2:28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  <c r="U126" s="2"/>
      <c r="V126" s="2"/>
      <c r="W126" s="2"/>
      <c r="X126" s="2"/>
      <c r="Y126" s="2"/>
      <c r="Z126" s="2"/>
      <c r="AA126" s="2"/>
      <c r="AB126" s="41"/>
    </row>
    <row r="127" spans="2:28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  <c r="U127" s="2"/>
      <c r="V127" s="2"/>
      <c r="W127" s="2"/>
      <c r="X127" s="2"/>
      <c r="Y127" s="2"/>
      <c r="Z127" s="2"/>
      <c r="AA127" s="2"/>
      <c r="AB127" s="40"/>
    </row>
    <row r="128" spans="2:28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  <c r="U128" s="2"/>
      <c r="V128" s="2"/>
      <c r="W128" s="2"/>
      <c r="X128" s="2"/>
      <c r="Y128" s="2"/>
      <c r="Z128" s="2"/>
      <c r="AA128" s="2"/>
      <c r="AB128" s="41"/>
    </row>
    <row r="129" spans="2:28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  <c r="U129" s="2"/>
      <c r="V129" s="2"/>
      <c r="W129" s="2"/>
      <c r="X129" s="2"/>
      <c r="Y129" s="2"/>
      <c r="Z129" s="2"/>
      <c r="AA129" s="2"/>
      <c r="AB129" s="41"/>
    </row>
    <row r="130" spans="2:28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  <c r="U130" s="2"/>
      <c r="V130" s="2"/>
      <c r="W130" s="2"/>
      <c r="X130" s="2"/>
      <c r="Y130" s="2"/>
      <c r="Z130" s="2"/>
      <c r="AA130" s="2"/>
      <c r="AB130" s="41"/>
    </row>
    <row r="131" spans="2:28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  <c r="U131" s="2"/>
      <c r="V131" s="2"/>
      <c r="W131" s="2"/>
      <c r="X131" s="2"/>
      <c r="Y131" s="2"/>
      <c r="Z131" s="2"/>
      <c r="AA131" s="2"/>
      <c r="AB131" s="40"/>
    </row>
    <row r="132" spans="2:28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  <c r="U132" s="2"/>
      <c r="V132" s="2"/>
      <c r="W132" s="2"/>
      <c r="X132" s="2"/>
      <c r="Y132" s="2"/>
      <c r="Z132" s="2"/>
      <c r="AA132" s="2"/>
      <c r="AB132" s="40"/>
    </row>
    <row r="133" spans="2:28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  <c r="U133" s="2"/>
      <c r="V133" s="2"/>
      <c r="W133" s="2"/>
      <c r="X133" s="2"/>
      <c r="Y133" s="2"/>
      <c r="Z133" s="2"/>
      <c r="AA133" s="2"/>
      <c r="AB133" s="41"/>
    </row>
    <row r="134" spans="2:28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  <c r="U134" s="2"/>
      <c r="V134" s="2"/>
      <c r="W134" s="2"/>
      <c r="X134" s="2"/>
      <c r="Y134" s="2"/>
      <c r="Z134" s="2"/>
      <c r="AA134" s="2"/>
      <c r="AB134" s="41"/>
    </row>
    <row r="135" spans="2:28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  <c r="U135" s="2"/>
      <c r="V135" s="2"/>
      <c r="W135" s="2"/>
      <c r="X135" s="2"/>
      <c r="Y135" s="2"/>
      <c r="Z135" s="2"/>
      <c r="AA135" s="2"/>
      <c r="AB135" s="40"/>
    </row>
    <row r="136" spans="2:28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  <c r="U136" s="2"/>
      <c r="V136" s="2"/>
      <c r="W136" s="2"/>
      <c r="X136" s="2"/>
      <c r="Y136" s="2"/>
      <c r="Z136" s="2"/>
      <c r="AA136" s="2"/>
      <c r="AB136" s="41"/>
    </row>
    <row r="137" spans="2:28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  <c r="U137" s="2"/>
      <c r="V137" s="2"/>
      <c r="W137" s="2"/>
      <c r="X137" s="2"/>
      <c r="Y137" s="2"/>
      <c r="Z137" s="2"/>
      <c r="AA137" s="2"/>
      <c r="AB137" s="41"/>
    </row>
    <row r="138" spans="2:28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  <c r="U138" s="2"/>
      <c r="V138" s="2"/>
      <c r="W138" s="2"/>
      <c r="X138" s="2"/>
      <c r="Y138" s="2"/>
      <c r="Z138" s="2"/>
      <c r="AA138" s="2"/>
      <c r="AB138" s="40"/>
    </row>
    <row r="139" spans="2:28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  <c r="U139" s="2"/>
      <c r="V139" s="2"/>
      <c r="W139" s="2"/>
      <c r="X139" s="2"/>
      <c r="Y139" s="2"/>
      <c r="Z139" s="2"/>
      <c r="AA139" s="2"/>
      <c r="AB139" s="40"/>
    </row>
    <row r="140" spans="2:28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  <c r="U140" s="2"/>
      <c r="V140" s="2"/>
      <c r="W140" s="2"/>
      <c r="X140" s="2"/>
      <c r="Y140" s="2"/>
      <c r="Z140" s="2"/>
      <c r="AA140" s="2"/>
      <c r="AB140" s="40"/>
    </row>
    <row r="141" spans="2:28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  <c r="U141" s="2"/>
      <c r="V141" s="2"/>
      <c r="W141" s="2"/>
      <c r="X141" s="2"/>
      <c r="Y141" s="2"/>
      <c r="Z141" s="2"/>
      <c r="AA141" s="2"/>
      <c r="AB141" s="40"/>
    </row>
    <row r="142" spans="2:28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  <c r="U142" s="2"/>
      <c r="V142" s="2"/>
      <c r="W142" s="2"/>
      <c r="X142" s="2"/>
      <c r="Y142" s="2"/>
      <c r="Z142" s="2"/>
      <c r="AA142" s="2"/>
      <c r="AB142" s="41"/>
    </row>
    <row r="143" spans="2:28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  <c r="U143" s="2"/>
      <c r="V143" s="2"/>
      <c r="W143" s="2"/>
      <c r="X143" s="2"/>
      <c r="Y143" s="2"/>
      <c r="Z143" s="2"/>
      <c r="AA143" s="2"/>
      <c r="AB143" s="40"/>
    </row>
    <row r="144" spans="2:28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  <c r="U144" s="2"/>
      <c r="V144" s="2"/>
      <c r="W144" s="2"/>
      <c r="X144" s="2"/>
      <c r="Y144" s="2"/>
      <c r="Z144" s="2"/>
      <c r="AA144" s="2"/>
      <c r="AB144" s="41"/>
    </row>
    <row r="145" spans="2:28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  <c r="U145" s="2"/>
      <c r="V145" s="2"/>
      <c r="W145" s="2"/>
      <c r="X145" s="2"/>
      <c r="Y145" s="2"/>
      <c r="Z145" s="2"/>
      <c r="AA145" s="2"/>
      <c r="AB145" s="41"/>
    </row>
    <row r="146" spans="2:28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  <c r="U146" s="2"/>
      <c r="V146" s="2"/>
      <c r="W146" s="2"/>
      <c r="X146" s="2"/>
      <c r="Y146" s="2"/>
      <c r="Z146" s="2"/>
      <c r="AA146" s="2"/>
      <c r="AB146" s="41"/>
    </row>
    <row r="147" spans="2:28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  <c r="U147" s="2"/>
      <c r="V147" s="2"/>
      <c r="W147" s="2"/>
      <c r="X147" s="2"/>
      <c r="Y147" s="2"/>
      <c r="Z147" s="2"/>
      <c r="AA147" s="2"/>
      <c r="AB147" s="41"/>
    </row>
    <row r="148" spans="2:28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  <c r="U148" s="2"/>
      <c r="V148" s="2"/>
      <c r="W148" s="2"/>
      <c r="X148" s="2"/>
      <c r="Y148" s="2"/>
      <c r="Z148" s="2"/>
      <c r="AA148" s="2"/>
      <c r="AB148" s="41"/>
    </row>
    <row r="149" spans="2:28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  <c r="U149" s="2"/>
      <c r="V149" s="2"/>
      <c r="W149" s="2"/>
      <c r="X149" s="2"/>
      <c r="Y149" s="2"/>
      <c r="Z149" s="2"/>
      <c r="AA149" s="2"/>
      <c r="AB149" s="41"/>
    </row>
    <row r="150" spans="2:28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  <c r="U150" s="2"/>
      <c r="V150" s="2"/>
      <c r="W150" s="2"/>
      <c r="X150" s="2"/>
      <c r="Y150" s="2"/>
      <c r="Z150" s="2"/>
      <c r="AA150" s="2"/>
      <c r="AB150" s="41"/>
    </row>
    <row r="151" spans="2:28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  <c r="U151" s="2"/>
      <c r="V151" s="2"/>
      <c r="W151" s="2"/>
      <c r="X151" s="2"/>
      <c r="Y151" s="2"/>
      <c r="Z151" s="2"/>
      <c r="AA151" s="2"/>
      <c r="AB151" s="41"/>
    </row>
    <row r="152" spans="2:28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  <c r="U152" s="2"/>
      <c r="V152" s="2"/>
      <c r="W152" s="2"/>
      <c r="X152" s="2"/>
      <c r="Y152" s="2"/>
      <c r="Z152" s="2"/>
      <c r="AA152" s="2"/>
      <c r="AB152" s="41"/>
    </row>
    <row r="153" spans="2:28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  <c r="U153" s="2"/>
      <c r="V153" s="2"/>
      <c r="W153" s="2"/>
      <c r="X153" s="2"/>
      <c r="Y153" s="2"/>
      <c r="Z153" s="2"/>
      <c r="AA153" s="2"/>
      <c r="AB153" s="41"/>
    </row>
    <row r="154" spans="2:28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  <c r="U154" s="2"/>
      <c r="V154" s="2"/>
      <c r="W154" s="2"/>
      <c r="X154" s="2"/>
      <c r="Y154" s="2"/>
      <c r="Z154" s="2"/>
      <c r="AA154" s="2"/>
      <c r="AB154" s="41"/>
    </row>
    <row r="155" spans="2:28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  <c r="U155" s="2"/>
      <c r="V155" s="2"/>
      <c r="W155" s="2"/>
      <c r="X155" s="2"/>
      <c r="Y155" s="2"/>
      <c r="Z155" s="2"/>
      <c r="AA155" s="2"/>
      <c r="AB155" s="41"/>
    </row>
    <row r="156" spans="2:28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  <c r="U156" s="2"/>
      <c r="V156" s="2"/>
      <c r="W156" s="2"/>
      <c r="X156" s="2"/>
      <c r="Y156" s="2"/>
      <c r="Z156" s="2"/>
      <c r="AA156" s="2"/>
      <c r="AB156" s="41"/>
    </row>
    <row r="157" spans="2:28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  <c r="U157" s="2"/>
      <c r="V157" s="2"/>
      <c r="W157" s="2"/>
      <c r="X157" s="2"/>
      <c r="Y157" s="2"/>
      <c r="Z157" s="2"/>
      <c r="AA157" s="2"/>
      <c r="AB157" s="41"/>
    </row>
    <row r="158" spans="2:28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  <c r="U158" s="2"/>
      <c r="V158" s="2"/>
      <c r="W158" s="2"/>
      <c r="X158" s="2"/>
      <c r="Y158" s="2"/>
      <c r="Z158" s="2"/>
      <c r="AA158" s="2"/>
      <c r="AB158" s="41"/>
    </row>
    <row r="159" spans="2:28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  <c r="U159" s="2"/>
      <c r="V159" s="2"/>
      <c r="W159" s="2"/>
      <c r="X159" s="2"/>
      <c r="Y159" s="2"/>
      <c r="Z159" s="2"/>
      <c r="AA159" s="2"/>
      <c r="AB159" s="41"/>
    </row>
    <row r="160" spans="2:28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  <c r="U160" s="2"/>
      <c r="V160" s="2"/>
      <c r="W160" s="2"/>
      <c r="X160" s="2"/>
      <c r="Y160" s="2"/>
      <c r="Z160" s="2"/>
      <c r="AA160" s="2"/>
      <c r="AB160" s="41"/>
    </row>
    <row r="161" spans="2:28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  <c r="U161" s="2"/>
      <c r="V161" s="2"/>
      <c r="W161" s="2"/>
      <c r="X161" s="2"/>
      <c r="Y161" s="2"/>
      <c r="Z161" s="2"/>
      <c r="AA161" s="2"/>
      <c r="AB161" s="41"/>
    </row>
    <row r="162" spans="2:28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  <c r="U162" s="2"/>
      <c r="V162" s="2"/>
      <c r="W162" s="2"/>
      <c r="X162" s="2"/>
      <c r="Y162" s="2"/>
      <c r="Z162" s="2"/>
      <c r="AA162" s="2"/>
      <c r="AB162" s="41"/>
    </row>
    <row r="163" spans="2:28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  <c r="U163" s="2"/>
      <c r="V163" s="2"/>
      <c r="W163" s="2"/>
      <c r="X163" s="2"/>
      <c r="Y163" s="2"/>
      <c r="Z163" s="2"/>
      <c r="AA163" s="2"/>
      <c r="AB163" s="41"/>
    </row>
    <row r="164" spans="2:28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  <c r="U164" s="2"/>
      <c r="V164" s="2"/>
      <c r="W164" s="2"/>
      <c r="X164" s="2"/>
      <c r="Y164" s="2"/>
      <c r="Z164" s="2"/>
      <c r="AA164" s="2"/>
      <c r="AB164" s="41"/>
    </row>
    <row r="165" spans="2:28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  <c r="U165" s="2"/>
      <c r="V165" s="2"/>
      <c r="W165" s="2"/>
      <c r="X165" s="2"/>
      <c r="Y165" s="2"/>
      <c r="Z165" s="2"/>
      <c r="AA165" s="2"/>
      <c r="AB165" s="41"/>
    </row>
    <row r="166" spans="2:28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  <c r="U166" s="2"/>
      <c r="V166" s="2"/>
      <c r="W166" s="2"/>
      <c r="X166" s="2"/>
      <c r="Y166" s="2"/>
      <c r="Z166" s="2"/>
      <c r="AA166" s="2"/>
      <c r="AB166" s="41"/>
    </row>
    <row r="167" spans="2:28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  <c r="U167" s="2"/>
      <c r="V167" s="2"/>
      <c r="W167" s="2"/>
      <c r="X167" s="2"/>
      <c r="Y167" s="2"/>
      <c r="Z167" s="2"/>
      <c r="AA167" s="2"/>
      <c r="AB167" s="41"/>
    </row>
    <row r="168" spans="2:28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  <c r="U168" s="2"/>
      <c r="V168" s="2"/>
      <c r="W168" s="2"/>
      <c r="X168" s="2"/>
      <c r="Y168" s="2"/>
      <c r="Z168" s="2"/>
      <c r="AA168" s="2"/>
      <c r="AB168" s="41"/>
    </row>
    <row r="169" spans="2:28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  <c r="U169" s="2"/>
      <c r="V169" s="2"/>
      <c r="W169" s="2"/>
      <c r="X169" s="2"/>
      <c r="Y169" s="2"/>
      <c r="Z169" s="2"/>
      <c r="AA169" s="2"/>
      <c r="AB169" s="41"/>
    </row>
    <row r="170" spans="2:28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  <c r="U170" s="2"/>
      <c r="V170" s="2"/>
      <c r="W170" s="2"/>
      <c r="X170" s="2"/>
      <c r="Y170" s="2"/>
      <c r="Z170" s="2"/>
      <c r="AA170" s="2"/>
      <c r="AB170" s="41"/>
    </row>
    <row r="171" spans="2:28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  <c r="U171" s="2"/>
      <c r="V171" s="2"/>
      <c r="W171" s="2"/>
      <c r="X171" s="2"/>
      <c r="Y171" s="2"/>
      <c r="Z171" s="2"/>
      <c r="AA171" s="2"/>
      <c r="AB171" s="40"/>
    </row>
    <row r="172" spans="2:28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  <c r="U172" s="2"/>
      <c r="V172" s="2"/>
      <c r="W172" s="2"/>
      <c r="X172" s="2"/>
      <c r="Y172" s="2"/>
      <c r="Z172" s="2"/>
      <c r="AA172" s="2"/>
      <c r="AB172" s="41"/>
    </row>
    <row r="173" spans="2:28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  <c r="U173" s="2"/>
      <c r="V173" s="2"/>
      <c r="W173" s="2"/>
      <c r="X173" s="2"/>
      <c r="Y173" s="2"/>
      <c r="Z173" s="2"/>
      <c r="AA173" s="2"/>
      <c r="AB173" s="41"/>
    </row>
    <row r="174" spans="2:28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  <c r="U174" s="2"/>
      <c r="V174" s="2"/>
      <c r="W174" s="2"/>
      <c r="X174" s="2"/>
      <c r="Y174" s="2"/>
      <c r="Z174" s="2"/>
      <c r="AA174" s="2"/>
      <c r="AB174" s="40"/>
    </row>
    <row r="175" spans="2:28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  <c r="U175" s="2"/>
      <c r="V175" s="2"/>
      <c r="W175" s="2"/>
      <c r="X175" s="2"/>
      <c r="Y175" s="2"/>
      <c r="Z175" s="2"/>
      <c r="AA175" s="2"/>
      <c r="AB175" s="40"/>
    </row>
    <row r="176" spans="2:28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  <c r="U176" s="2"/>
      <c r="V176" s="2"/>
      <c r="W176" s="2"/>
      <c r="X176" s="2"/>
      <c r="Y176" s="2"/>
      <c r="Z176" s="2"/>
      <c r="AA176" s="2"/>
      <c r="AB176" s="40"/>
    </row>
    <row r="177" spans="2:28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  <c r="U177" s="2"/>
      <c r="V177" s="2"/>
      <c r="W177" s="2"/>
      <c r="X177" s="2"/>
      <c r="Y177" s="2"/>
      <c r="Z177" s="2"/>
      <c r="AA177" s="2"/>
      <c r="AB177" s="40"/>
    </row>
    <row r="178" spans="2:28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  <c r="U178" s="2"/>
      <c r="V178" s="2"/>
      <c r="W178" s="2"/>
      <c r="X178" s="2"/>
      <c r="Y178" s="2"/>
      <c r="Z178" s="2"/>
      <c r="AA178" s="2"/>
      <c r="AB178" s="41"/>
    </row>
    <row r="179" spans="2:28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  <c r="U179" s="2"/>
      <c r="V179" s="2"/>
      <c r="W179" s="2"/>
      <c r="X179" s="2"/>
      <c r="Y179" s="2"/>
      <c r="Z179" s="2"/>
      <c r="AA179" s="2"/>
      <c r="AB179" s="40"/>
    </row>
    <row r="180" spans="2:28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  <c r="U180" s="2"/>
      <c r="V180" s="2"/>
      <c r="W180" s="2"/>
      <c r="X180" s="2"/>
      <c r="Y180" s="2"/>
      <c r="Z180" s="2"/>
      <c r="AA180" s="2"/>
      <c r="AB180" s="40"/>
    </row>
    <row r="181" spans="2:28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  <c r="U181" s="2"/>
      <c r="V181" s="2"/>
      <c r="W181" s="2"/>
      <c r="X181" s="2"/>
      <c r="Y181" s="2"/>
      <c r="Z181" s="2"/>
      <c r="AA181" s="2"/>
      <c r="AB181" s="41"/>
    </row>
    <row r="182" spans="2:28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  <c r="U182" s="2"/>
      <c r="V182" s="2"/>
      <c r="W182" s="2"/>
      <c r="X182" s="2"/>
      <c r="Y182" s="2"/>
      <c r="Z182" s="2"/>
      <c r="AA182" s="2"/>
      <c r="AB182" s="40"/>
    </row>
    <row r="183" spans="2:28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  <c r="U183" s="2"/>
      <c r="V183" s="2"/>
      <c r="W183" s="2"/>
      <c r="X183" s="2"/>
      <c r="Y183" s="2"/>
      <c r="Z183" s="2"/>
      <c r="AA183" s="2"/>
      <c r="AB183" s="41"/>
    </row>
    <row r="184" spans="2:28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  <c r="U184" s="2"/>
      <c r="V184" s="2"/>
      <c r="W184" s="2"/>
      <c r="X184" s="2"/>
      <c r="Y184" s="2"/>
      <c r="Z184" s="2"/>
      <c r="AA184" s="2"/>
      <c r="AB184" s="41"/>
    </row>
    <row r="185" spans="2:28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  <c r="U185" s="2"/>
      <c r="V185" s="2"/>
      <c r="W185" s="2"/>
      <c r="X185" s="2"/>
      <c r="Y185" s="2"/>
      <c r="Z185" s="2"/>
      <c r="AA185" s="2"/>
      <c r="AB185" s="40"/>
    </row>
    <row r="186" spans="2:28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  <c r="U186" s="2"/>
      <c r="V186" s="2"/>
      <c r="W186" s="2"/>
      <c r="X186" s="2"/>
      <c r="Y186" s="2"/>
      <c r="Z186" s="2"/>
      <c r="AA186" s="2"/>
      <c r="AB186" s="40"/>
    </row>
    <row r="187" spans="2:28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  <c r="U187" s="2"/>
      <c r="V187" s="2"/>
      <c r="W187" s="2"/>
      <c r="X187" s="2"/>
      <c r="Y187" s="2"/>
      <c r="Z187" s="2"/>
      <c r="AA187" s="2"/>
      <c r="AB187" s="40"/>
    </row>
    <row r="188" spans="2:28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  <c r="U188" s="2"/>
      <c r="V188" s="2"/>
      <c r="W188" s="2"/>
      <c r="X188" s="2"/>
      <c r="Y188" s="2"/>
      <c r="Z188" s="2"/>
      <c r="AA188" s="2"/>
      <c r="AB188" s="40"/>
    </row>
    <row r="189" spans="2:28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  <c r="U189" s="2"/>
      <c r="V189" s="2"/>
      <c r="W189" s="2"/>
      <c r="X189" s="2"/>
      <c r="Y189" s="2"/>
      <c r="Z189" s="2"/>
      <c r="AA189" s="2"/>
      <c r="AB189" s="41"/>
    </row>
    <row r="190" spans="2:28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  <c r="U190" s="2"/>
      <c r="V190" s="2"/>
      <c r="W190" s="2"/>
      <c r="X190" s="2"/>
      <c r="Y190" s="2"/>
      <c r="Z190" s="2"/>
      <c r="AA190" s="2"/>
      <c r="AB190" s="41"/>
    </row>
    <row r="191" spans="2:28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  <c r="U191" s="2"/>
      <c r="V191" s="2"/>
      <c r="W191" s="2"/>
      <c r="X191" s="2"/>
      <c r="Y191" s="2"/>
      <c r="Z191" s="2"/>
      <c r="AA191" s="2"/>
      <c r="AB191" s="41"/>
    </row>
    <row r="192" spans="2:28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  <c r="U192" s="2"/>
      <c r="V192" s="2"/>
      <c r="W192" s="2"/>
      <c r="X192" s="2"/>
      <c r="Y192" s="2"/>
      <c r="Z192" s="2"/>
      <c r="AA192" s="2"/>
      <c r="AB192" s="41"/>
    </row>
    <row r="193" spans="2:28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  <c r="U193" s="2"/>
      <c r="V193" s="2"/>
      <c r="W193" s="2"/>
      <c r="X193" s="2"/>
      <c r="Y193" s="2"/>
      <c r="Z193" s="2"/>
      <c r="AA193" s="2"/>
      <c r="AB193" s="40"/>
    </row>
    <row r="194" spans="2:28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  <c r="U194" s="2"/>
      <c r="V194" s="2"/>
      <c r="W194" s="2"/>
      <c r="X194" s="2"/>
      <c r="Y194" s="2"/>
      <c r="Z194" s="2"/>
      <c r="AA194" s="2"/>
      <c r="AB194" s="40"/>
    </row>
    <row r="195" spans="2:28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  <c r="U195" s="2"/>
      <c r="V195" s="2"/>
      <c r="W195" s="2"/>
      <c r="X195" s="2"/>
      <c r="Y195" s="2"/>
      <c r="Z195" s="2"/>
      <c r="AA195" s="2"/>
      <c r="AB195" s="40"/>
    </row>
    <row r="196" spans="2:28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  <c r="U196" s="2"/>
      <c r="V196" s="2"/>
      <c r="W196" s="2"/>
      <c r="X196" s="2"/>
      <c r="Y196" s="2"/>
      <c r="Z196" s="2"/>
      <c r="AA196" s="2"/>
      <c r="AB196" s="41"/>
    </row>
    <row r="197" spans="2:28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  <c r="U197" s="2"/>
      <c r="V197" s="2"/>
      <c r="W197" s="2"/>
      <c r="X197" s="2"/>
      <c r="Y197" s="2"/>
      <c r="Z197" s="2"/>
      <c r="AA197" s="2"/>
      <c r="AB197" s="40"/>
    </row>
    <row r="198" spans="2:28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  <c r="U198" s="2"/>
      <c r="V198" s="2"/>
      <c r="W198" s="2"/>
      <c r="X198" s="2"/>
      <c r="Y198" s="2"/>
      <c r="Z198" s="2"/>
      <c r="AA198" s="2"/>
      <c r="AB198" s="40"/>
    </row>
    <row r="199" spans="2:28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  <c r="U199" s="2"/>
      <c r="V199" s="2"/>
      <c r="W199" s="2"/>
      <c r="X199" s="2"/>
      <c r="Y199" s="2"/>
      <c r="Z199" s="2"/>
      <c r="AA199" s="2"/>
      <c r="AB199" s="40"/>
    </row>
    <row r="200" spans="2:28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  <c r="U200" s="2"/>
      <c r="V200" s="2"/>
      <c r="W200" s="2"/>
      <c r="X200" s="2"/>
      <c r="Y200" s="2"/>
      <c r="Z200" s="2"/>
      <c r="AA200" s="2"/>
      <c r="AB200" s="41"/>
    </row>
    <row r="201" spans="2:28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  <c r="U201" s="2"/>
      <c r="V201" s="2"/>
      <c r="W201" s="2"/>
      <c r="X201" s="2"/>
      <c r="Y201" s="2"/>
      <c r="Z201" s="2"/>
      <c r="AA201" s="2"/>
      <c r="AB201" s="40"/>
    </row>
    <row r="202" spans="2:28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  <c r="U202" s="2"/>
      <c r="V202" s="2"/>
      <c r="W202" s="2"/>
      <c r="X202" s="2"/>
      <c r="Y202" s="2"/>
      <c r="Z202" s="2"/>
      <c r="AA202" s="2"/>
      <c r="AB202" s="40"/>
    </row>
    <row r="203" spans="2:28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  <c r="U203" s="2"/>
      <c r="V203" s="2"/>
      <c r="W203" s="2"/>
      <c r="X203" s="2"/>
      <c r="Y203" s="2"/>
      <c r="Z203" s="2"/>
      <c r="AA203" s="2"/>
      <c r="AB203" s="40"/>
    </row>
    <row r="204" spans="2:28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  <c r="U204" s="2"/>
      <c r="V204" s="2"/>
      <c r="W204" s="2"/>
      <c r="X204" s="2"/>
      <c r="Y204" s="2"/>
      <c r="Z204" s="2"/>
      <c r="AA204" s="2"/>
      <c r="AB204" s="40"/>
    </row>
    <row r="205" spans="2:28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  <c r="U205" s="2"/>
      <c r="V205" s="2"/>
      <c r="W205" s="2"/>
      <c r="X205" s="2"/>
      <c r="Y205" s="2"/>
      <c r="Z205" s="2"/>
      <c r="AA205" s="2"/>
      <c r="AB205" s="41"/>
    </row>
    <row r="206" spans="2:28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  <c r="U206" s="2"/>
      <c r="V206" s="2"/>
      <c r="W206" s="2"/>
      <c r="X206" s="2"/>
      <c r="Y206" s="2"/>
      <c r="Z206" s="2"/>
      <c r="AA206" s="2"/>
      <c r="AB206" s="40"/>
    </row>
    <row r="207" spans="2:28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  <c r="U207" s="2"/>
      <c r="V207" s="2"/>
      <c r="W207" s="2"/>
      <c r="X207" s="2"/>
      <c r="Y207" s="2"/>
      <c r="Z207" s="2"/>
      <c r="AA207" s="2"/>
      <c r="AB207" s="41"/>
    </row>
    <row r="208" spans="2:28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  <c r="U208" s="2"/>
      <c r="V208" s="2"/>
      <c r="W208" s="2"/>
      <c r="X208" s="2"/>
      <c r="Y208" s="2"/>
      <c r="Z208" s="2"/>
      <c r="AA208" s="2"/>
      <c r="AB208" s="40"/>
    </row>
    <row r="209" spans="2:28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  <c r="U209" s="2"/>
      <c r="V209" s="2"/>
      <c r="W209" s="2"/>
      <c r="X209" s="2"/>
      <c r="Y209" s="2"/>
      <c r="Z209" s="2"/>
      <c r="AA209" s="2"/>
      <c r="AB209" s="41"/>
    </row>
    <row r="210" spans="2:28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  <c r="U210" s="2"/>
      <c r="V210" s="2"/>
      <c r="W210" s="2"/>
      <c r="X210" s="2"/>
      <c r="Y210" s="2"/>
      <c r="Z210" s="2"/>
      <c r="AA210" s="2"/>
      <c r="AB210" s="40"/>
    </row>
    <row r="211" spans="2:28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  <c r="U211" s="2"/>
      <c r="V211" s="2"/>
      <c r="W211" s="2"/>
      <c r="X211" s="2"/>
      <c r="Y211" s="2"/>
      <c r="Z211" s="2"/>
      <c r="AA211" s="2"/>
      <c r="AB211" s="40"/>
    </row>
    <row r="212" spans="2:28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  <c r="U212" s="2"/>
      <c r="V212" s="2"/>
      <c r="W212" s="2"/>
      <c r="X212" s="2"/>
      <c r="Y212" s="2"/>
      <c r="Z212" s="2"/>
      <c r="AA212" s="2"/>
      <c r="AB212" s="40"/>
    </row>
    <row r="213" spans="2:28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  <c r="U213" s="2"/>
      <c r="V213" s="2"/>
      <c r="W213" s="2"/>
      <c r="X213" s="2"/>
      <c r="Y213" s="2"/>
      <c r="Z213" s="2"/>
      <c r="AA213" s="2"/>
      <c r="AB213" s="40"/>
    </row>
    <row r="214" spans="2:28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  <c r="U214" s="2"/>
      <c r="V214" s="2"/>
      <c r="W214" s="2"/>
      <c r="X214" s="2"/>
      <c r="Y214" s="2"/>
      <c r="Z214" s="2"/>
      <c r="AA214" s="2"/>
      <c r="AB214" s="40"/>
    </row>
    <row r="215" spans="2:28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  <c r="U215" s="2"/>
      <c r="V215" s="2"/>
      <c r="W215" s="2"/>
      <c r="X215" s="2"/>
      <c r="Y215" s="2"/>
      <c r="Z215" s="2"/>
      <c r="AA215" s="2"/>
      <c r="AB215" s="40"/>
    </row>
    <row r="216" spans="2:28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  <c r="U216" s="2"/>
      <c r="V216" s="2"/>
      <c r="W216" s="2"/>
      <c r="X216" s="2"/>
      <c r="Y216" s="2"/>
      <c r="Z216" s="2"/>
      <c r="AA216" s="2"/>
      <c r="AB216" s="41"/>
    </row>
    <row r="217" spans="2:28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  <c r="U217" s="2"/>
      <c r="V217" s="2"/>
      <c r="W217" s="2"/>
      <c r="X217" s="2"/>
      <c r="Y217" s="2"/>
      <c r="Z217" s="2"/>
      <c r="AA217" s="2"/>
      <c r="AB217" s="41"/>
    </row>
    <row r="218" spans="2:28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  <c r="U218" s="2"/>
      <c r="V218" s="2"/>
      <c r="W218" s="2"/>
      <c r="X218" s="2"/>
      <c r="Y218" s="2"/>
      <c r="Z218" s="2"/>
      <c r="AA218" s="2"/>
      <c r="AB218" s="40"/>
    </row>
    <row r="219" spans="2:28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  <c r="U219" s="2"/>
      <c r="V219" s="2"/>
      <c r="W219" s="2"/>
      <c r="X219" s="2"/>
      <c r="Y219" s="2"/>
      <c r="Z219" s="2"/>
      <c r="AA219" s="2"/>
      <c r="AB219" s="41"/>
    </row>
    <row r="220" spans="2:28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  <c r="U220" s="2"/>
      <c r="V220" s="2"/>
      <c r="W220" s="2"/>
      <c r="X220" s="2"/>
      <c r="Y220" s="2"/>
      <c r="Z220" s="2"/>
      <c r="AA220" s="2"/>
      <c r="AB220" s="41"/>
    </row>
    <row r="221" spans="2:28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  <c r="U221" s="2"/>
      <c r="V221" s="2"/>
      <c r="W221" s="2"/>
      <c r="X221" s="2"/>
      <c r="Y221" s="2"/>
      <c r="Z221" s="2"/>
      <c r="AA221" s="2"/>
      <c r="AB221" s="40"/>
    </row>
    <row r="222" spans="2:28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  <c r="U222" s="2"/>
      <c r="V222" s="2"/>
      <c r="W222" s="2"/>
      <c r="X222" s="2"/>
      <c r="Y222" s="2"/>
      <c r="Z222" s="2"/>
      <c r="AA222" s="2"/>
      <c r="AB222" s="41"/>
    </row>
    <row r="223" spans="2:28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  <c r="U223" s="2"/>
      <c r="V223" s="2"/>
      <c r="W223" s="2"/>
      <c r="X223" s="2"/>
      <c r="Y223" s="2"/>
      <c r="Z223" s="2"/>
      <c r="AA223" s="2"/>
      <c r="AB223" s="41"/>
    </row>
    <row r="224" spans="2:28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  <c r="U224" s="2"/>
      <c r="V224" s="2"/>
      <c r="W224" s="2"/>
      <c r="X224" s="2"/>
      <c r="Y224" s="2"/>
      <c r="Z224" s="2"/>
      <c r="AA224" s="2"/>
      <c r="AB224" s="40"/>
    </row>
    <row r="225" spans="2:28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  <c r="U225" s="2"/>
      <c r="V225" s="2"/>
      <c r="W225" s="2"/>
      <c r="X225" s="2"/>
      <c r="Y225" s="2"/>
      <c r="Z225" s="2"/>
      <c r="AA225" s="2"/>
      <c r="AB225" s="41"/>
    </row>
    <row r="226" spans="2:28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  <c r="U226" s="2"/>
      <c r="V226" s="2"/>
      <c r="W226" s="2"/>
      <c r="X226" s="2"/>
      <c r="Y226" s="2"/>
      <c r="Z226" s="2"/>
      <c r="AA226" s="2"/>
      <c r="AB226" s="40"/>
    </row>
    <row r="227" spans="2:28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  <c r="U227" s="2"/>
      <c r="V227" s="2"/>
      <c r="W227" s="2"/>
      <c r="X227" s="2"/>
      <c r="Y227" s="2"/>
      <c r="Z227" s="2"/>
      <c r="AA227" s="2"/>
      <c r="AB227" s="40"/>
    </row>
    <row r="228" spans="2:28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  <c r="U228" s="2"/>
      <c r="V228" s="2"/>
      <c r="W228" s="2"/>
      <c r="X228" s="2"/>
      <c r="Y228" s="2"/>
      <c r="Z228" s="2"/>
      <c r="AA228" s="2"/>
      <c r="AB228" s="40"/>
    </row>
    <row r="229" spans="2:28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  <c r="U229" s="2"/>
      <c r="V229" s="2"/>
      <c r="W229" s="2"/>
      <c r="X229" s="2"/>
      <c r="Y229" s="2"/>
      <c r="Z229" s="2"/>
      <c r="AA229" s="2"/>
      <c r="AB229" s="40"/>
    </row>
    <row r="230" spans="2:28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  <c r="U230" s="2"/>
      <c r="V230" s="2"/>
      <c r="W230" s="2"/>
      <c r="X230" s="2"/>
      <c r="Y230" s="2"/>
      <c r="Z230" s="2"/>
      <c r="AA230" s="2"/>
      <c r="AB230" s="40"/>
    </row>
    <row r="231" spans="2:28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  <c r="U231" s="2"/>
      <c r="V231" s="2"/>
      <c r="W231" s="2"/>
      <c r="X231" s="2"/>
      <c r="Y231" s="2"/>
      <c r="Z231" s="2"/>
      <c r="AA231" s="2"/>
      <c r="AB231" s="40"/>
    </row>
    <row r="232" spans="2:28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  <c r="U232" s="2"/>
      <c r="V232" s="2"/>
      <c r="W232" s="2"/>
      <c r="X232" s="2"/>
      <c r="Y232" s="2"/>
      <c r="Z232" s="2"/>
      <c r="AA232" s="2"/>
      <c r="AB232" s="40"/>
    </row>
    <row r="233" spans="2:28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  <c r="U233" s="2"/>
      <c r="V233" s="2"/>
      <c r="W233" s="2"/>
      <c r="X233" s="2"/>
      <c r="Y233" s="2"/>
      <c r="Z233" s="2"/>
      <c r="AA233" s="2"/>
      <c r="AB233" s="41"/>
    </row>
    <row r="234" spans="2:28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  <c r="U234" s="2"/>
      <c r="V234" s="2"/>
      <c r="W234" s="2"/>
      <c r="X234" s="2"/>
      <c r="Y234" s="2"/>
      <c r="Z234" s="2"/>
      <c r="AA234" s="2"/>
      <c r="AB234" s="40"/>
    </row>
    <row r="235" spans="2:28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  <c r="U235" s="2"/>
      <c r="V235" s="2"/>
      <c r="W235" s="2"/>
      <c r="X235" s="2"/>
      <c r="Y235" s="2"/>
      <c r="Z235" s="2"/>
      <c r="AA235" s="2"/>
      <c r="AB235" s="41"/>
    </row>
    <row r="236" spans="2:28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  <c r="U236" s="2"/>
      <c r="V236" s="2"/>
      <c r="W236" s="2"/>
      <c r="X236" s="2"/>
      <c r="Y236" s="2"/>
      <c r="Z236" s="2"/>
      <c r="AA236" s="2"/>
      <c r="AB236" s="40"/>
    </row>
    <row r="237" spans="2:28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  <c r="U237" s="2"/>
      <c r="V237" s="2"/>
      <c r="W237" s="2"/>
      <c r="X237" s="2"/>
      <c r="Y237" s="2"/>
      <c r="Z237" s="2"/>
      <c r="AA237" s="2"/>
      <c r="AB237" s="40"/>
    </row>
    <row r="238" spans="2:28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  <c r="U238" s="2"/>
      <c r="V238" s="2"/>
      <c r="W238" s="2"/>
      <c r="X238" s="2"/>
      <c r="Y238" s="2"/>
      <c r="Z238" s="2"/>
      <c r="AA238" s="2"/>
      <c r="AB238" s="40"/>
    </row>
    <row r="239" spans="2:28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  <c r="U239" s="2"/>
      <c r="V239" s="2"/>
      <c r="W239" s="2"/>
      <c r="X239" s="2"/>
      <c r="Y239" s="2"/>
      <c r="Z239" s="2"/>
      <c r="AA239" s="2"/>
      <c r="AB239" s="41"/>
    </row>
    <row r="240" spans="2:28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  <c r="U240" s="2"/>
      <c r="V240" s="2"/>
      <c r="W240" s="2"/>
      <c r="X240" s="2"/>
      <c r="Y240" s="2"/>
      <c r="Z240" s="2"/>
      <c r="AA240" s="2"/>
      <c r="AB240" s="40"/>
    </row>
    <row r="241" spans="2:28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  <c r="U241" s="2"/>
      <c r="V241" s="2"/>
      <c r="W241" s="2"/>
      <c r="X241" s="2"/>
      <c r="Y241" s="2"/>
      <c r="Z241" s="2"/>
      <c r="AA241" s="2"/>
      <c r="AB241" s="40"/>
    </row>
    <row r="242" spans="2:28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  <c r="U242" s="2"/>
      <c r="V242" s="2"/>
      <c r="W242" s="2"/>
      <c r="X242" s="2"/>
      <c r="Y242" s="2"/>
      <c r="Z242" s="2"/>
      <c r="AA242" s="2"/>
      <c r="AB242" s="41"/>
    </row>
    <row r="243" spans="2:28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  <c r="U243" s="2"/>
      <c r="V243" s="2"/>
      <c r="W243" s="2"/>
      <c r="X243" s="2"/>
      <c r="Y243" s="2"/>
      <c r="Z243" s="2"/>
      <c r="AA243" s="2"/>
      <c r="AB243" s="40"/>
    </row>
    <row r="244" spans="2:28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  <c r="U244" s="2"/>
      <c r="V244" s="2"/>
      <c r="W244" s="2"/>
      <c r="X244" s="2"/>
      <c r="Y244" s="2"/>
      <c r="Z244" s="2"/>
      <c r="AA244" s="2"/>
      <c r="AB244" s="41"/>
    </row>
    <row r="245" spans="2:28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  <c r="U245" s="2"/>
      <c r="V245" s="2"/>
      <c r="W245" s="2"/>
      <c r="X245" s="2"/>
      <c r="Y245" s="2"/>
      <c r="Z245" s="2"/>
      <c r="AA245" s="2"/>
      <c r="AB245" s="40"/>
    </row>
    <row r="246" spans="2:28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  <c r="U246" s="2"/>
      <c r="V246" s="2"/>
      <c r="W246" s="2"/>
      <c r="X246" s="2"/>
      <c r="Y246" s="2"/>
      <c r="Z246" s="2"/>
      <c r="AA246" s="2"/>
      <c r="AB246" s="41"/>
    </row>
    <row r="247" spans="2:28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  <c r="U247" s="2"/>
      <c r="V247" s="2"/>
      <c r="W247" s="2"/>
      <c r="X247" s="2"/>
      <c r="Y247" s="2"/>
      <c r="Z247" s="2"/>
      <c r="AA247" s="2"/>
      <c r="AB247" s="40"/>
    </row>
    <row r="248" spans="2:28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  <c r="U248" s="2"/>
      <c r="V248" s="2"/>
      <c r="W248" s="2"/>
      <c r="X248" s="2"/>
      <c r="Y248" s="2"/>
      <c r="Z248" s="2"/>
      <c r="AA248" s="2"/>
      <c r="AB248" s="41"/>
    </row>
    <row r="249" spans="2:28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  <c r="U249" s="2"/>
      <c r="V249" s="2"/>
      <c r="W249" s="2"/>
      <c r="X249" s="2"/>
      <c r="Y249" s="2"/>
      <c r="Z249" s="2"/>
      <c r="AA249" s="2"/>
      <c r="AB249" s="41"/>
    </row>
    <row r="250" spans="2:28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  <c r="U250" s="2"/>
      <c r="V250" s="2"/>
      <c r="W250" s="2"/>
      <c r="X250" s="2"/>
      <c r="Y250" s="2"/>
      <c r="Z250" s="2"/>
      <c r="AA250" s="2"/>
      <c r="AB250" s="40"/>
    </row>
    <row r="251" spans="2:28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  <c r="U251" s="2"/>
      <c r="V251" s="2"/>
      <c r="W251" s="2"/>
      <c r="X251" s="2"/>
      <c r="Y251" s="2"/>
      <c r="Z251" s="2"/>
      <c r="AA251" s="2"/>
      <c r="AB251" s="40"/>
    </row>
    <row r="252" spans="2:28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  <c r="U252" s="2"/>
      <c r="V252" s="2"/>
      <c r="W252" s="2"/>
      <c r="X252" s="2"/>
      <c r="Y252" s="2"/>
      <c r="Z252" s="2"/>
      <c r="AA252" s="2"/>
      <c r="AB252" s="40"/>
    </row>
    <row r="253" spans="2:28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  <c r="U253" s="2"/>
      <c r="V253" s="2"/>
      <c r="W253" s="2"/>
      <c r="X253" s="2"/>
      <c r="Y253" s="2"/>
      <c r="Z253" s="2"/>
      <c r="AA253" s="2"/>
      <c r="AB253" s="40"/>
    </row>
    <row r="254" spans="2:28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  <c r="U254" s="2"/>
      <c r="V254" s="2"/>
      <c r="W254" s="2"/>
      <c r="X254" s="2"/>
      <c r="Y254" s="2"/>
      <c r="Z254" s="2"/>
      <c r="AA254" s="2"/>
      <c r="AB254" s="41"/>
    </row>
    <row r="255" spans="2:28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  <c r="U255" s="2"/>
      <c r="V255" s="2"/>
      <c r="W255" s="2"/>
      <c r="X255" s="2"/>
      <c r="Y255" s="2"/>
      <c r="Z255" s="2"/>
      <c r="AA255" s="2"/>
      <c r="AB255" s="40"/>
    </row>
    <row r="256" spans="2:28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  <c r="U256" s="2"/>
      <c r="V256" s="2"/>
      <c r="W256" s="2"/>
      <c r="X256" s="2"/>
      <c r="Y256" s="2"/>
      <c r="Z256" s="2"/>
      <c r="AA256" s="2"/>
      <c r="AB256" s="41"/>
    </row>
    <row r="257" spans="2:28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  <c r="U257" s="2"/>
      <c r="V257" s="2"/>
      <c r="W257" s="2"/>
      <c r="X257" s="2"/>
      <c r="Y257" s="2"/>
      <c r="Z257" s="2"/>
      <c r="AA257" s="2"/>
      <c r="AB257" s="40"/>
    </row>
    <row r="258" spans="2:28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  <c r="U258" s="2"/>
      <c r="V258" s="2"/>
      <c r="W258" s="2"/>
      <c r="X258" s="2"/>
      <c r="Y258" s="2"/>
      <c r="Z258" s="2"/>
      <c r="AA258" s="2"/>
      <c r="AB258" s="41"/>
    </row>
    <row r="259" spans="2:28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  <c r="U259" s="2"/>
      <c r="V259" s="2"/>
      <c r="W259" s="2"/>
      <c r="X259" s="2"/>
      <c r="Y259" s="2"/>
      <c r="Z259" s="2"/>
      <c r="AA259" s="2"/>
      <c r="AB259" s="40"/>
    </row>
    <row r="260" spans="2:28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  <c r="U260" s="2"/>
      <c r="V260" s="2"/>
      <c r="W260" s="2"/>
      <c r="X260" s="2"/>
      <c r="Y260" s="2"/>
      <c r="Z260" s="2"/>
      <c r="AA260" s="2"/>
      <c r="AB260" s="41"/>
    </row>
    <row r="261" spans="2:28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  <c r="U261" s="2"/>
      <c r="V261" s="2"/>
      <c r="W261" s="2"/>
      <c r="X261" s="2"/>
      <c r="Y261" s="2"/>
      <c r="Z261" s="2"/>
      <c r="AA261" s="2"/>
      <c r="AB261" s="40"/>
    </row>
    <row r="262" spans="2:28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  <c r="U262" s="2"/>
      <c r="V262" s="2"/>
      <c r="W262" s="2"/>
      <c r="X262" s="2"/>
      <c r="Y262" s="2"/>
      <c r="Z262" s="2"/>
      <c r="AA262" s="2"/>
      <c r="AB262" s="40"/>
    </row>
    <row r="263" spans="2:28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  <c r="U263" s="2"/>
      <c r="V263" s="2"/>
      <c r="W263" s="2"/>
      <c r="X263" s="2"/>
      <c r="Y263" s="2"/>
      <c r="Z263" s="2"/>
      <c r="AA263" s="2"/>
      <c r="AB263" s="40"/>
    </row>
    <row r="264" spans="2:28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  <c r="U264" s="2"/>
      <c r="V264" s="2"/>
      <c r="W264" s="2"/>
      <c r="X264" s="2"/>
      <c r="Y264" s="2"/>
      <c r="Z264" s="2"/>
      <c r="AA264" s="2"/>
      <c r="AB264" s="41"/>
    </row>
    <row r="265" spans="2:28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  <c r="U265" s="2"/>
      <c r="V265" s="2"/>
      <c r="W265" s="2"/>
      <c r="X265" s="2"/>
      <c r="Y265" s="2"/>
      <c r="Z265" s="2"/>
      <c r="AA265" s="2"/>
      <c r="AB265" s="41"/>
    </row>
    <row r="266" spans="2:28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  <c r="U266" s="2"/>
      <c r="V266" s="2"/>
      <c r="W266" s="2"/>
      <c r="X266" s="2"/>
      <c r="Y266" s="2"/>
      <c r="Z266" s="2"/>
      <c r="AA266" s="2"/>
      <c r="AB266" s="40"/>
    </row>
    <row r="267" spans="2:28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  <c r="U267" s="2"/>
      <c r="V267" s="2"/>
      <c r="W267" s="2"/>
      <c r="X267" s="2"/>
      <c r="Y267" s="2"/>
      <c r="Z267" s="2"/>
      <c r="AA267" s="2"/>
      <c r="AB267" s="40"/>
    </row>
    <row r="268" spans="2:28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  <c r="U268" s="2"/>
      <c r="V268" s="2"/>
      <c r="W268" s="2"/>
      <c r="X268" s="2"/>
      <c r="Y268" s="2"/>
      <c r="Z268" s="2"/>
      <c r="AA268" s="2"/>
      <c r="AB268" s="40"/>
    </row>
    <row r="269" spans="2:28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  <c r="U269" s="2"/>
      <c r="V269" s="2"/>
      <c r="W269" s="2"/>
      <c r="X269" s="2"/>
      <c r="Y269" s="2"/>
      <c r="Z269" s="2"/>
      <c r="AA269" s="2"/>
      <c r="AB269" s="40"/>
    </row>
    <row r="270" spans="2:28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  <c r="U270" s="2"/>
      <c r="V270" s="2"/>
      <c r="W270" s="2"/>
      <c r="X270" s="2"/>
      <c r="Y270" s="2"/>
      <c r="Z270" s="2"/>
      <c r="AA270" s="2"/>
      <c r="AB270" s="41"/>
    </row>
    <row r="271" spans="2:28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  <c r="U271" s="2"/>
      <c r="V271" s="2"/>
      <c r="W271" s="2"/>
      <c r="X271" s="2"/>
      <c r="Y271" s="2"/>
      <c r="Z271" s="2"/>
      <c r="AA271" s="2"/>
      <c r="AB271" s="40"/>
    </row>
    <row r="272" spans="2:28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  <c r="U272" s="2"/>
      <c r="V272" s="2"/>
      <c r="W272" s="2"/>
      <c r="X272" s="2"/>
      <c r="Y272" s="2"/>
      <c r="Z272" s="2"/>
      <c r="AA272" s="2"/>
      <c r="AB272" s="41"/>
    </row>
    <row r="273" spans="2:28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  <c r="U273" s="2"/>
      <c r="V273" s="2"/>
      <c r="W273" s="2"/>
      <c r="X273" s="2"/>
      <c r="Y273" s="2"/>
      <c r="Z273" s="2"/>
      <c r="AA273" s="2"/>
      <c r="AB273" s="41"/>
    </row>
    <row r="274" spans="2:28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  <c r="U274" s="2"/>
      <c r="V274" s="2"/>
      <c r="W274" s="2"/>
      <c r="X274" s="2"/>
      <c r="Y274" s="2"/>
      <c r="Z274" s="2"/>
      <c r="AA274" s="2"/>
      <c r="AB274" s="40"/>
    </row>
    <row r="275" spans="2:28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  <c r="U275" s="2"/>
      <c r="V275" s="2"/>
      <c r="W275" s="2"/>
      <c r="X275" s="2"/>
      <c r="Y275" s="2"/>
      <c r="Z275" s="2"/>
      <c r="AA275" s="2"/>
      <c r="AB275" s="41"/>
    </row>
    <row r="276" spans="2:28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  <c r="U276" s="2"/>
      <c r="V276" s="2"/>
      <c r="W276" s="2"/>
      <c r="X276" s="2"/>
      <c r="Y276" s="2"/>
      <c r="Z276" s="2"/>
      <c r="AA276" s="2"/>
      <c r="AB276" s="41"/>
    </row>
    <row r="277" spans="2:28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  <c r="U277" s="2"/>
      <c r="V277" s="2"/>
      <c r="W277" s="2"/>
      <c r="X277" s="2"/>
      <c r="Y277" s="2"/>
      <c r="Z277" s="2"/>
      <c r="AA277" s="2"/>
      <c r="AB277" s="40"/>
    </row>
    <row r="278" spans="2:28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  <c r="U278" s="2"/>
      <c r="V278" s="2"/>
      <c r="W278" s="2"/>
      <c r="X278" s="2"/>
      <c r="Y278" s="2"/>
      <c r="Z278" s="2"/>
      <c r="AA278" s="2"/>
      <c r="AB278" s="41"/>
    </row>
    <row r="279" spans="2:28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  <c r="U279" s="2"/>
      <c r="V279" s="2"/>
      <c r="W279" s="2"/>
      <c r="X279" s="2"/>
      <c r="Y279" s="2"/>
      <c r="Z279" s="2"/>
      <c r="AA279" s="2"/>
      <c r="AB279" s="41"/>
    </row>
    <row r="280" spans="2:28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  <c r="U280" s="2"/>
      <c r="V280" s="2"/>
      <c r="W280" s="2"/>
      <c r="X280" s="2"/>
      <c r="Y280" s="2"/>
      <c r="Z280" s="2"/>
      <c r="AA280" s="2"/>
      <c r="AB280" s="41"/>
    </row>
    <row r="281" spans="2:28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  <c r="U281" s="2"/>
      <c r="V281" s="2"/>
      <c r="W281" s="2"/>
      <c r="X281" s="2"/>
      <c r="Y281" s="2"/>
      <c r="Z281" s="2"/>
      <c r="AA281" s="2"/>
      <c r="AB281" s="41"/>
    </row>
    <row r="282" spans="2:28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  <c r="U282" s="2"/>
      <c r="V282" s="2"/>
      <c r="W282" s="2"/>
      <c r="X282" s="2"/>
      <c r="Y282" s="2"/>
      <c r="Z282" s="2"/>
      <c r="AA282" s="2"/>
      <c r="AB282" s="41"/>
    </row>
    <row r="283" spans="2:28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  <c r="U283" s="2"/>
      <c r="V283" s="2"/>
      <c r="W283" s="2"/>
      <c r="X283" s="2"/>
      <c r="Y283" s="2"/>
      <c r="Z283" s="2"/>
      <c r="AA283" s="2"/>
      <c r="AB283" s="40"/>
    </row>
    <row r="284" spans="2:28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  <c r="U284" s="2"/>
      <c r="V284" s="2"/>
      <c r="W284" s="2"/>
      <c r="X284" s="2"/>
      <c r="Y284" s="2"/>
      <c r="Z284" s="2"/>
      <c r="AA284" s="2"/>
      <c r="AB284" s="41"/>
    </row>
    <row r="285" spans="2:28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  <c r="U285" s="2"/>
      <c r="V285" s="2"/>
      <c r="W285" s="2"/>
      <c r="X285" s="2"/>
      <c r="Y285" s="2"/>
      <c r="Z285" s="2"/>
      <c r="AA285" s="2"/>
      <c r="AB285" s="41"/>
    </row>
    <row r="286" spans="2:28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  <c r="U286" s="2"/>
      <c r="V286" s="2"/>
      <c r="W286" s="2"/>
      <c r="X286" s="2"/>
      <c r="Y286" s="2"/>
      <c r="Z286" s="2"/>
      <c r="AA286" s="2"/>
      <c r="AB286" s="41"/>
    </row>
    <row r="287" spans="2:28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  <c r="U287" s="2"/>
      <c r="V287" s="2"/>
      <c r="W287" s="2"/>
      <c r="X287" s="2"/>
      <c r="Y287" s="2"/>
      <c r="Z287" s="2"/>
      <c r="AA287" s="2"/>
      <c r="AB287" s="40"/>
    </row>
    <row r="288" spans="2:28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  <c r="U288" s="2"/>
      <c r="V288" s="2"/>
      <c r="W288" s="2"/>
      <c r="X288" s="2"/>
      <c r="Y288" s="2"/>
      <c r="Z288" s="2"/>
      <c r="AA288" s="2"/>
      <c r="AB288" s="41"/>
    </row>
    <row r="289" spans="2:28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  <c r="U289" s="2"/>
      <c r="V289" s="2"/>
      <c r="W289" s="2"/>
      <c r="X289" s="2"/>
      <c r="Y289" s="2"/>
      <c r="Z289" s="2"/>
      <c r="AA289" s="2"/>
      <c r="AB289" s="40"/>
    </row>
    <row r="290" spans="2:28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  <c r="U290" s="2"/>
      <c r="V290" s="2"/>
      <c r="W290" s="2"/>
      <c r="X290" s="2"/>
      <c r="Y290" s="2"/>
      <c r="Z290" s="2"/>
      <c r="AA290" s="2"/>
      <c r="AB290" s="41"/>
    </row>
    <row r="291" spans="2:28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  <c r="U291" s="2"/>
      <c r="V291" s="2"/>
      <c r="W291" s="2"/>
      <c r="X291" s="2"/>
      <c r="Y291" s="2"/>
      <c r="Z291" s="2"/>
      <c r="AA291" s="2"/>
      <c r="AB291" s="40"/>
    </row>
    <row r="292" spans="2:28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  <c r="U292" s="2"/>
      <c r="V292" s="2"/>
      <c r="W292" s="2"/>
      <c r="X292" s="2"/>
      <c r="Y292" s="2"/>
      <c r="Z292" s="2"/>
      <c r="AA292" s="2"/>
      <c r="AB292" s="41"/>
    </row>
    <row r="293" spans="2:28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  <c r="U293" s="2"/>
      <c r="V293" s="2"/>
      <c r="W293" s="2"/>
      <c r="X293" s="2"/>
      <c r="Y293" s="2"/>
      <c r="Z293" s="2"/>
      <c r="AA293" s="2"/>
      <c r="AB293" s="40"/>
    </row>
    <row r="294" spans="2:28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  <c r="U294" s="2"/>
      <c r="V294" s="2"/>
      <c r="W294" s="2"/>
      <c r="X294" s="2"/>
      <c r="Y294" s="2"/>
      <c r="Z294" s="2"/>
      <c r="AA294" s="2"/>
      <c r="AB294" s="40"/>
    </row>
    <row r="295" spans="2:28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  <c r="U295" s="2"/>
      <c r="V295" s="2"/>
      <c r="W295" s="2"/>
      <c r="X295" s="2"/>
      <c r="Y295" s="2"/>
      <c r="Z295" s="2"/>
      <c r="AA295" s="2"/>
      <c r="AB295" s="41"/>
    </row>
    <row r="296" spans="2:28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  <c r="U296" s="2"/>
      <c r="V296" s="2"/>
      <c r="W296" s="2"/>
      <c r="X296" s="2"/>
      <c r="Y296" s="2"/>
      <c r="Z296" s="2"/>
      <c r="AA296" s="2"/>
      <c r="AB296" s="41"/>
    </row>
    <row r="297" spans="2:28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  <c r="U297" s="2"/>
      <c r="V297" s="2"/>
      <c r="W297" s="2"/>
      <c r="X297" s="2"/>
      <c r="Y297" s="2"/>
      <c r="Z297" s="2"/>
      <c r="AA297" s="2"/>
      <c r="AB297" s="40"/>
    </row>
    <row r="298" spans="2:28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  <c r="U298" s="2"/>
      <c r="V298" s="2"/>
      <c r="W298" s="2"/>
      <c r="X298" s="2"/>
      <c r="Y298" s="2"/>
      <c r="Z298" s="2"/>
      <c r="AA298" s="2"/>
      <c r="AB298" s="40"/>
    </row>
    <row r="299" spans="2:28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  <c r="U299" s="2"/>
      <c r="V299" s="2"/>
      <c r="W299" s="2"/>
      <c r="X299" s="2"/>
      <c r="Y299" s="2"/>
      <c r="Z299" s="2"/>
      <c r="AA299" s="2"/>
      <c r="AB299" s="40"/>
    </row>
    <row r="300" spans="2:28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  <c r="U300" s="2"/>
      <c r="V300" s="2"/>
      <c r="W300" s="2"/>
      <c r="X300" s="2"/>
      <c r="Y300" s="2"/>
      <c r="Z300" s="2"/>
      <c r="AA300" s="2"/>
      <c r="AB300" s="40"/>
    </row>
    <row r="301" spans="2:28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  <c r="U301" s="2"/>
      <c r="V301" s="2"/>
      <c r="W301" s="2"/>
      <c r="X301" s="2"/>
      <c r="Y301" s="2"/>
      <c r="Z301" s="2"/>
      <c r="AA301" s="2"/>
      <c r="AB301" s="40"/>
    </row>
    <row r="302" spans="2:28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  <c r="U302" s="2"/>
      <c r="V302" s="2"/>
      <c r="W302" s="2"/>
      <c r="X302" s="2"/>
      <c r="Y302" s="2"/>
      <c r="Z302" s="2"/>
      <c r="AA302" s="2"/>
      <c r="AB302" s="41"/>
    </row>
    <row r="303" spans="2:28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  <c r="U303" s="2"/>
      <c r="V303" s="2"/>
      <c r="W303" s="2"/>
      <c r="X303" s="2"/>
      <c r="Y303" s="2"/>
      <c r="Z303" s="2"/>
      <c r="AA303" s="2"/>
      <c r="AB303" s="40"/>
    </row>
    <row r="304" spans="2:28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  <c r="U304" s="2"/>
      <c r="V304" s="2"/>
      <c r="W304" s="2"/>
      <c r="X304" s="2"/>
      <c r="Y304" s="2"/>
      <c r="Z304" s="2"/>
      <c r="AA304" s="2"/>
      <c r="AB304" s="41"/>
    </row>
    <row r="305" spans="2:28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  <c r="U305" s="2"/>
      <c r="V305" s="2"/>
      <c r="W305" s="2"/>
      <c r="X305" s="2"/>
      <c r="Y305" s="2"/>
      <c r="Z305" s="2"/>
      <c r="AA305" s="2"/>
      <c r="AB305" s="40"/>
    </row>
    <row r="306" spans="2:28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  <c r="U306" s="2"/>
      <c r="V306" s="2"/>
      <c r="W306" s="2"/>
      <c r="X306" s="2"/>
      <c r="Y306" s="2"/>
      <c r="Z306" s="2"/>
      <c r="AA306" s="2"/>
      <c r="AB306" s="40"/>
    </row>
    <row r="307" spans="2:28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  <c r="U307" s="2"/>
      <c r="V307" s="2"/>
      <c r="W307" s="2"/>
      <c r="X307" s="2"/>
      <c r="Y307" s="2"/>
      <c r="Z307" s="2"/>
      <c r="AA307" s="2"/>
      <c r="AB307" s="40"/>
    </row>
    <row r="308" spans="2:28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  <c r="U308" s="2"/>
      <c r="V308" s="2"/>
      <c r="W308" s="2"/>
      <c r="X308" s="2"/>
      <c r="Y308" s="2"/>
      <c r="Z308" s="2"/>
      <c r="AA308" s="2"/>
      <c r="AB308" s="40"/>
    </row>
    <row r="309" spans="2:28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  <c r="U309" s="2"/>
      <c r="V309" s="2"/>
      <c r="W309" s="2"/>
      <c r="X309" s="2"/>
      <c r="Y309" s="2"/>
      <c r="Z309" s="2"/>
      <c r="AA309" s="2"/>
      <c r="AB309" s="41"/>
    </row>
    <row r="310" spans="2:28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  <c r="U310" s="2"/>
      <c r="V310" s="2"/>
      <c r="W310" s="2"/>
      <c r="X310" s="2"/>
      <c r="Y310" s="2"/>
      <c r="Z310" s="2"/>
      <c r="AA310" s="2"/>
      <c r="AB310" s="40"/>
    </row>
    <row r="311" spans="2:28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  <c r="U311" s="2"/>
      <c r="V311" s="2"/>
      <c r="W311" s="2"/>
      <c r="X311" s="2"/>
      <c r="Y311" s="2"/>
      <c r="Z311" s="2"/>
      <c r="AA311" s="2"/>
      <c r="AB311" s="40"/>
    </row>
    <row r="312" spans="2:28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  <c r="U312" s="2"/>
      <c r="V312" s="2"/>
      <c r="W312" s="2"/>
      <c r="X312" s="2"/>
      <c r="Y312" s="2"/>
      <c r="Z312" s="2"/>
      <c r="AA312" s="2"/>
      <c r="AB312" s="40"/>
    </row>
    <row r="313" spans="2:28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  <c r="U313" s="2"/>
      <c r="V313" s="2"/>
      <c r="W313" s="2"/>
      <c r="X313" s="2"/>
      <c r="Y313" s="2"/>
      <c r="Z313" s="2"/>
      <c r="AA313" s="2"/>
      <c r="AB313" s="41"/>
    </row>
    <row r="314" spans="2:28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  <c r="U314" s="2"/>
      <c r="V314" s="2"/>
      <c r="W314" s="2"/>
      <c r="X314" s="2"/>
      <c r="Y314" s="2"/>
      <c r="Z314" s="2"/>
      <c r="AA314" s="2"/>
      <c r="AB314" s="40"/>
    </row>
    <row r="315" spans="2:28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  <c r="U315" s="2"/>
      <c r="V315" s="2"/>
      <c r="W315" s="2"/>
      <c r="X315" s="2"/>
      <c r="Y315" s="2"/>
      <c r="Z315" s="2"/>
      <c r="AA315" s="2"/>
      <c r="AB315" s="41"/>
    </row>
    <row r="316" spans="2:28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  <c r="U316" s="2"/>
      <c r="V316" s="2"/>
      <c r="W316" s="2"/>
      <c r="X316" s="2"/>
      <c r="Y316" s="2"/>
      <c r="Z316" s="2"/>
      <c r="AA316" s="2"/>
      <c r="AB316" s="41"/>
    </row>
    <row r="317" spans="2:28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  <c r="U317" s="2"/>
      <c r="V317" s="2"/>
      <c r="W317" s="2"/>
      <c r="X317" s="2"/>
      <c r="Y317" s="2"/>
      <c r="Z317" s="2"/>
      <c r="AA317" s="2"/>
      <c r="AB317" s="41"/>
    </row>
    <row r="318" spans="2:28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  <c r="U318" s="2"/>
      <c r="V318" s="2"/>
      <c r="W318" s="2"/>
      <c r="X318" s="2"/>
      <c r="Y318" s="2"/>
      <c r="Z318" s="2"/>
      <c r="AA318" s="2"/>
      <c r="AB318" s="41"/>
    </row>
    <row r="319" spans="2:28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  <c r="U319" s="2"/>
      <c r="V319" s="2"/>
      <c r="W319" s="2"/>
      <c r="X319" s="2"/>
      <c r="Y319" s="2"/>
      <c r="Z319" s="2"/>
      <c r="AA319" s="2"/>
      <c r="AB319" s="40"/>
    </row>
    <row r="320" spans="2:28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  <c r="U320" s="2"/>
      <c r="V320" s="2"/>
      <c r="W320" s="2"/>
      <c r="X320" s="2"/>
      <c r="Y320" s="2"/>
      <c r="Z320" s="2"/>
      <c r="AA320" s="2"/>
      <c r="AB320" s="41"/>
    </row>
    <row r="321" spans="2:28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  <c r="U321" s="2"/>
      <c r="V321" s="2"/>
      <c r="W321" s="2"/>
      <c r="X321" s="2"/>
      <c r="Y321" s="2"/>
      <c r="Z321" s="2"/>
      <c r="AA321" s="2"/>
      <c r="AB321" s="40"/>
    </row>
    <row r="322" spans="2:28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  <c r="U322" s="2"/>
      <c r="V322" s="2"/>
      <c r="W322" s="2"/>
      <c r="X322" s="2"/>
      <c r="Y322" s="2"/>
      <c r="Z322" s="2"/>
      <c r="AA322" s="2"/>
      <c r="AB322" s="41"/>
    </row>
    <row r="323" spans="2:28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  <c r="U323" s="2"/>
      <c r="V323" s="2"/>
      <c r="W323" s="2"/>
      <c r="X323" s="2"/>
      <c r="Y323" s="2"/>
      <c r="Z323" s="2"/>
      <c r="AA323" s="2"/>
      <c r="AB323" s="40"/>
    </row>
    <row r="324" spans="2:28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  <c r="U324" s="2"/>
      <c r="V324" s="2"/>
      <c r="W324" s="2"/>
      <c r="X324" s="2"/>
      <c r="Y324" s="2"/>
      <c r="Z324" s="2"/>
      <c r="AA324" s="2"/>
      <c r="AB324" s="40"/>
    </row>
    <row r="325" spans="2:28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  <c r="U325" s="2"/>
      <c r="V325" s="2"/>
      <c r="W325" s="2"/>
      <c r="X325" s="2"/>
      <c r="Y325" s="2"/>
      <c r="Z325" s="2"/>
      <c r="AA325" s="2"/>
      <c r="AB325" s="40"/>
    </row>
    <row r="326" spans="2:28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  <c r="U326" s="2"/>
      <c r="V326" s="2"/>
      <c r="W326" s="2"/>
      <c r="X326" s="2"/>
      <c r="Y326" s="2"/>
      <c r="Z326" s="2"/>
      <c r="AA326" s="2"/>
      <c r="AB326" s="40"/>
    </row>
    <row r="327" spans="2:28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  <c r="U327" s="2"/>
      <c r="V327" s="2"/>
      <c r="W327" s="2"/>
      <c r="X327" s="2"/>
      <c r="Y327" s="2"/>
      <c r="Z327" s="2"/>
      <c r="AA327" s="2"/>
      <c r="AB327" s="41"/>
    </row>
    <row r="328" spans="2:28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  <c r="U328" s="2"/>
      <c r="V328" s="2"/>
      <c r="W328" s="2"/>
      <c r="X328" s="2"/>
      <c r="Y328" s="2"/>
      <c r="Z328" s="2"/>
      <c r="AA328" s="2"/>
      <c r="AB328" s="41"/>
    </row>
    <row r="329" spans="2:28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  <c r="U329" s="2"/>
      <c r="V329" s="2"/>
      <c r="W329" s="2"/>
      <c r="X329" s="2"/>
      <c r="Y329" s="2"/>
      <c r="Z329" s="2"/>
      <c r="AA329" s="2"/>
      <c r="AB329" s="40"/>
    </row>
    <row r="330" spans="2:28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  <c r="U330" s="2"/>
      <c r="V330" s="2"/>
      <c r="W330" s="2"/>
      <c r="X330" s="2"/>
      <c r="Y330" s="2"/>
      <c r="Z330" s="2"/>
      <c r="AA330" s="2"/>
      <c r="AB330" s="40"/>
    </row>
    <row r="331" spans="2:28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  <c r="U331" s="2"/>
      <c r="V331" s="2"/>
      <c r="W331" s="2"/>
      <c r="X331" s="2"/>
      <c r="Y331" s="2"/>
      <c r="Z331" s="2"/>
      <c r="AA331" s="2"/>
      <c r="AB331" s="40"/>
    </row>
    <row r="332" spans="2:28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  <c r="U332" s="2"/>
      <c r="V332" s="2"/>
      <c r="W332" s="2"/>
      <c r="X332" s="2"/>
      <c r="Y332" s="2"/>
      <c r="Z332" s="2"/>
      <c r="AA332" s="2"/>
      <c r="AB332" s="40"/>
    </row>
    <row r="333" spans="2:28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  <c r="U333" s="2"/>
      <c r="V333" s="2"/>
      <c r="W333" s="2"/>
      <c r="X333" s="2"/>
      <c r="Y333" s="2"/>
      <c r="Z333" s="2"/>
      <c r="AA333" s="2"/>
      <c r="AB333" s="40"/>
    </row>
    <row r="334" spans="2:28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  <c r="U334" s="2"/>
      <c r="V334" s="2"/>
      <c r="W334" s="2"/>
      <c r="X334" s="2"/>
      <c r="Y334" s="2"/>
      <c r="Z334" s="2"/>
      <c r="AA334" s="2"/>
      <c r="AB334" s="40"/>
    </row>
    <row r="335" spans="2:28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  <c r="U335" s="2"/>
      <c r="V335" s="2"/>
      <c r="W335" s="2"/>
      <c r="X335" s="2"/>
      <c r="Y335" s="2"/>
      <c r="Z335" s="2"/>
      <c r="AA335" s="2"/>
      <c r="AB335" s="40"/>
    </row>
    <row r="336" spans="2:28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  <c r="U336" s="2"/>
      <c r="V336" s="2"/>
      <c r="W336" s="2"/>
      <c r="X336" s="2"/>
      <c r="Y336" s="2"/>
      <c r="Z336" s="2"/>
      <c r="AA336" s="2"/>
      <c r="AB336" s="40"/>
    </row>
    <row r="337" spans="2:28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  <c r="U337" s="2"/>
      <c r="V337" s="2"/>
      <c r="W337" s="2"/>
      <c r="X337" s="2"/>
      <c r="Y337" s="2"/>
      <c r="Z337" s="2"/>
      <c r="AA337" s="2"/>
      <c r="AB337" s="40"/>
    </row>
    <row r="338" spans="2:28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  <c r="U338" s="2"/>
      <c r="V338" s="2"/>
      <c r="W338" s="2"/>
      <c r="X338" s="2"/>
      <c r="Y338" s="2"/>
      <c r="Z338" s="2"/>
      <c r="AA338" s="2"/>
      <c r="AB338" s="41"/>
    </row>
    <row r="339" spans="2:28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  <c r="U339" s="2"/>
      <c r="V339" s="2"/>
      <c r="W339" s="2"/>
      <c r="X339" s="2"/>
      <c r="Y339" s="2"/>
      <c r="Z339" s="2"/>
      <c r="AA339" s="2"/>
      <c r="AB339" s="40"/>
    </row>
    <row r="340" spans="2:28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  <c r="U340" s="2"/>
      <c r="V340" s="2"/>
      <c r="W340" s="2"/>
      <c r="X340" s="2"/>
      <c r="Y340" s="2"/>
      <c r="Z340" s="2"/>
      <c r="AA340" s="2"/>
      <c r="AB340" s="40"/>
    </row>
    <row r="341" spans="2:28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  <c r="U341" s="2"/>
      <c r="V341" s="2"/>
      <c r="W341" s="2"/>
      <c r="X341" s="2"/>
      <c r="Y341" s="2"/>
      <c r="Z341" s="2"/>
      <c r="AA341" s="2"/>
      <c r="AB341" s="40"/>
    </row>
    <row r="342" spans="2:28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  <c r="U342" s="2"/>
      <c r="V342" s="2"/>
      <c r="W342" s="2"/>
      <c r="X342" s="2"/>
      <c r="Y342" s="2"/>
      <c r="Z342" s="2"/>
      <c r="AA342" s="2"/>
      <c r="AB342" s="41"/>
    </row>
    <row r="343" spans="2:28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  <c r="U343" s="2"/>
      <c r="V343" s="2"/>
      <c r="W343" s="2"/>
      <c r="X343" s="2"/>
      <c r="Y343" s="2"/>
      <c r="Z343" s="2"/>
      <c r="AA343" s="2"/>
      <c r="AB343" s="41"/>
    </row>
    <row r="344" spans="2:28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  <c r="U344" s="2"/>
      <c r="V344" s="2"/>
      <c r="W344" s="2"/>
      <c r="X344" s="2"/>
      <c r="Y344" s="2"/>
      <c r="Z344" s="2"/>
      <c r="AA344" s="2"/>
      <c r="AB344" s="40"/>
    </row>
    <row r="345" spans="2:28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  <c r="U345" s="2"/>
      <c r="V345" s="2"/>
      <c r="W345" s="2"/>
      <c r="X345" s="2"/>
      <c r="Y345" s="2"/>
      <c r="Z345" s="2"/>
      <c r="AA345" s="2"/>
      <c r="AB345" s="40"/>
    </row>
    <row r="346" spans="2:28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  <c r="U346" s="2"/>
      <c r="V346" s="2"/>
      <c r="W346" s="2"/>
      <c r="X346" s="2"/>
      <c r="Y346" s="2"/>
      <c r="Z346" s="2"/>
      <c r="AA346" s="2"/>
      <c r="AB346" s="40"/>
    </row>
    <row r="347" spans="2:28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  <c r="U347" s="2"/>
      <c r="V347" s="2"/>
      <c r="W347" s="2"/>
      <c r="X347" s="2"/>
      <c r="Y347" s="2"/>
      <c r="Z347" s="2"/>
      <c r="AA347" s="2"/>
      <c r="AB347" s="40"/>
    </row>
    <row r="348" spans="2:28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  <c r="U348" s="2"/>
      <c r="V348" s="2"/>
      <c r="W348" s="2"/>
      <c r="X348" s="2"/>
      <c r="Y348" s="2"/>
      <c r="Z348" s="2"/>
      <c r="AA348" s="2"/>
      <c r="AB348" s="40"/>
    </row>
    <row r="349" spans="2:28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  <c r="U349" s="2"/>
      <c r="V349" s="2"/>
      <c r="W349" s="2"/>
      <c r="X349" s="2"/>
      <c r="Y349" s="2"/>
      <c r="Z349" s="2"/>
      <c r="AA349" s="2"/>
      <c r="AB349" s="41"/>
    </row>
    <row r="350" spans="2:28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  <c r="U350" s="2"/>
      <c r="V350" s="2"/>
      <c r="W350" s="2"/>
      <c r="X350" s="2"/>
      <c r="Y350" s="2"/>
      <c r="Z350" s="2"/>
      <c r="AA350" s="2"/>
      <c r="AB350" s="40"/>
    </row>
    <row r="351" spans="2:28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  <c r="U351" s="2"/>
      <c r="V351" s="2"/>
      <c r="W351" s="2"/>
      <c r="X351" s="2"/>
      <c r="Y351" s="2"/>
      <c r="Z351" s="2"/>
      <c r="AA351" s="2"/>
      <c r="AB351" s="40"/>
    </row>
    <row r="352" spans="2:28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  <c r="U352" s="2"/>
      <c r="V352" s="2"/>
      <c r="W352" s="2"/>
      <c r="X352" s="2"/>
      <c r="Y352" s="2"/>
      <c r="Z352" s="2"/>
      <c r="AA352" s="2"/>
      <c r="AB352" s="40"/>
    </row>
    <row r="353" spans="2:28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  <c r="U353" s="2"/>
      <c r="V353" s="2"/>
      <c r="W353" s="2"/>
      <c r="X353" s="2"/>
      <c r="Y353" s="2"/>
      <c r="Z353" s="2"/>
      <c r="AA353" s="2"/>
      <c r="AB353" s="40"/>
    </row>
    <row r="354" spans="2:28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  <c r="U354" s="2"/>
      <c r="V354" s="2"/>
      <c r="W354" s="2"/>
      <c r="X354" s="2"/>
      <c r="Y354" s="2"/>
      <c r="Z354" s="2"/>
      <c r="AA354" s="2"/>
      <c r="AB354" s="40"/>
    </row>
    <row r="355" spans="2:28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  <c r="U355" s="2"/>
      <c r="V355" s="2"/>
      <c r="W355" s="2"/>
      <c r="X355" s="2"/>
      <c r="Y355" s="2"/>
      <c r="Z355" s="2"/>
      <c r="AA355" s="2"/>
      <c r="AB355" s="41"/>
    </row>
    <row r="356" spans="2:28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  <c r="U356" s="2"/>
      <c r="V356" s="2"/>
      <c r="W356" s="2"/>
      <c r="X356" s="2"/>
      <c r="Y356" s="2"/>
      <c r="Z356" s="2"/>
      <c r="AA356" s="2"/>
      <c r="AB356" s="40"/>
    </row>
    <row r="357" spans="2:28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  <c r="U357" s="2"/>
      <c r="V357" s="2"/>
      <c r="W357" s="2"/>
      <c r="X357" s="2"/>
      <c r="Y357" s="2"/>
      <c r="Z357" s="2"/>
      <c r="AA357" s="2"/>
      <c r="AB357" s="40"/>
    </row>
    <row r="358" spans="2:28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  <c r="U358" s="2"/>
      <c r="V358" s="2"/>
      <c r="W358" s="2"/>
      <c r="X358" s="2"/>
      <c r="Y358" s="2"/>
      <c r="Z358" s="2"/>
      <c r="AA358" s="2"/>
      <c r="AB358" s="40"/>
    </row>
    <row r="359" spans="2:28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  <c r="U359" s="2"/>
      <c r="V359" s="2"/>
      <c r="W359" s="2"/>
      <c r="X359" s="2"/>
      <c r="Y359" s="2"/>
      <c r="Z359" s="2"/>
      <c r="AA359" s="2"/>
      <c r="AB359" s="40"/>
    </row>
    <row r="360" spans="2:28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  <c r="U360" s="2"/>
      <c r="V360" s="2"/>
      <c r="W360" s="2"/>
      <c r="X360" s="2"/>
      <c r="Y360" s="2"/>
      <c r="Z360" s="2"/>
      <c r="AA360" s="2"/>
      <c r="AB360" s="40"/>
    </row>
    <row r="361" spans="2:28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  <c r="U361" s="2"/>
      <c r="V361" s="2"/>
      <c r="W361" s="2"/>
      <c r="X361" s="2"/>
      <c r="Y361" s="2"/>
      <c r="Z361" s="2"/>
      <c r="AA361" s="2"/>
      <c r="AB361" s="41"/>
    </row>
    <row r="362" spans="2:28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  <c r="U362" s="2"/>
      <c r="V362" s="2"/>
      <c r="W362" s="2"/>
      <c r="X362" s="2"/>
      <c r="Y362" s="2"/>
      <c r="Z362" s="2"/>
      <c r="AA362" s="2"/>
      <c r="AB362" s="41"/>
    </row>
    <row r="363" spans="2:28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  <c r="U363" s="2"/>
      <c r="V363" s="2"/>
      <c r="W363" s="2"/>
      <c r="X363" s="2"/>
      <c r="Y363" s="2"/>
      <c r="Z363" s="2"/>
      <c r="AA363" s="2"/>
      <c r="AB363" s="40"/>
    </row>
    <row r="364" spans="2:28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  <c r="U364" s="2"/>
      <c r="V364" s="2"/>
      <c r="W364" s="2"/>
      <c r="X364" s="2"/>
      <c r="Y364" s="2"/>
      <c r="Z364" s="2"/>
      <c r="AA364" s="2"/>
      <c r="AB364" s="40"/>
    </row>
    <row r="365" spans="2:28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  <c r="U365" s="2"/>
      <c r="V365" s="2"/>
      <c r="W365" s="2"/>
      <c r="X365" s="2"/>
      <c r="Y365" s="2"/>
      <c r="Z365" s="2"/>
      <c r="AA365" s="2"/>
      <c r="AB365" s="40"/>
    </row>
    <row r="366" spans="2:28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  <c r="U366" s="2"/>
      <c r="V366" s="2"/>
      <c r="W366" s="2"/>
      <c r="X366" s="2"/>
      <c r="Y366" s="2"/>
      <c r="Z366" s="2"/>
      <c r="AA366" s="2"/>
      <c r="AB366" s="40"/>
    </row>
    <row r="367" spans="2:28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  <c r="U367" s="2"/>
      <c r="V367" s="2"/>
      <c r="W367" s="2"/>
      <c r="X367" s="2"/>
      <c r="Y367" s="2"/>
      <c r="Z367" s="2"/>
      <c r="AA367" s="2"/>
      <c r="AB367" s="41"/>
    </row>
    <row r="368" spans="2:28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  <c r="U368" s="2"/>
      <c r="V368" s="2"/>
      <c r="W368" s="2"/>
      <c r="X368" s="2"/>
      <c r="Y368" s="2"/>
      <c r="Z368" s="2"/>
      <c r="AA368" s="2"/>
      <c r="AB368" s="40"/>
    </row>
    <row r="369" spans="2:28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  <c r="U369" s="2"/>
      <c r="V369" s="2"/>
      <c r="W369" s="2"/>
      <c r="X369" s="2"/>
      <c r="Y369" s="2"/>
      <c r="Z369" s="2"/>
      <c r="AA369" s="2"/>
      <c r="AB369" s="40"/>
    </row>
    <row r="370" spans="2:28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  <c r="U370" s="2"/>
      <c r="V370" s="2"/>
      <c r="W370" s="2"/>
      <c r="X370" s="2"/>
      <c r="Y370" s="2"/>
      <c r="Z370" s="2"/>
      <c r="AA370" s="2"/>
      <c r="AB370" s="40"/>
    </row>
    <row r="371" spans="2:28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  <c r="U371" s="2"/>
      <c r="V371" s="2"/>
      <c r="W371" s="2"/>
      <c r="X371" s="2"/>
      <c r="Y371" s="2"/>
      <c r="Z371" s="2"/>
      <c r="AA371" s="2"/>
      <c r="AB371" s="41"/>
    </row>
    <row r="372" spans="2:28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  <c r="U372" s="2"/>
      <c r="V372" s="2"/>
      <c r="W372" s="2"/>
      <c r="X372" s="2"/>
      <c r="Y372" s="2"/>
      <c r="Z372" s="2"/>
      <c r="AA372" s="2"/>
      <c r="AB372" s="41"/>
    </row>
    <row r="373" spans="2:28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  <c r="U373" s="2"/>
      <c r="V373" s="2"/>
      <c r="W373" s="2"/>
      <c r="X373" s="2"/>
      <c r="Y373" s="2"/>
      <c r="Z373" s="2"/>
      <c r="AA373" s="2"/>
      <c r="AB373" s="40"/>
    </row>
    <row r="374" spans="2:28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  <c r="U374" s="2"/>
      <c r="V374" s="2"/>
      <c r="W374" s="2"/>
      <c r="X374" s="2"/>
      <c r="Y374" s="2"/>
      <c r="Z374" s="2"/>
      <c r="AA374" s="2"/>
      <c r="AB374" s="40"/>
    </row>
    <row r="375" spans="2:28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  <c r="U375" s="2"/>
      <c r="V375" s="2"/>
      <c r="W375" s="2"/>
      <c r="X375" s="2"/>
      <c r="Y375" s="2"/>
      <c r="Z375" s="2"/>
      <c r="AA375" s="2"/>
      <c r="AB375" s="40"/>
    </row>
    <row r="376" spans="2:28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  <c r="U376" s="2"/>
      <c r="V376" s="2"/>
      <c r="W376" s="2"/>
      <c r="X376" s="2"/>
      <c r="Y376" s="2"/>
      <c r="Z376" s="2"/>
      <c r="AA376" s="2"/>
      <c r="AB376" s="41"/>
    </row>
    <row r="377" spans="2:28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  <c r="U377" s="2"/>
      <c r="V377" s="2"/>
      <c r="W377" s="2"/>
      <c r="X377" s="2"/>
      <c r="Y377" s="2"/>
      <c r="Z377" s="2"/>
      <c r="AA377" s="2"/>
      <c r="AB377" s="40"/>
    </row>
    <row r="378" spans="2:28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  <c r="U378" s="2"/>
      <c r="V378" s="2"/>
      <c r="W378" s="2"/>
      <c r="X378" s="2"/>
      <c r="Y378" s="2"/>
      <c r="Z378" s="2"/>
      <c r="AA378" s="2"/>
      <c r="AB378" s="40"/>
    </row>
    <row r="379" spans="2:28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  <c r="U379" s="2"/>
      <c r="V379" s="2"/>
      <c r="W379" s="2"/>
      <c r="X379" s="2"/>
      <c r="Y379" s="2"/>
      <c r="Z379" s="2"/>
      <c r="AA379" s="2"/>
      <c r="AB379" s="41"/>
    </row>
    <row r="380" spans="2:28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  <c r="U380" s="2"/>
      <c r="V380" s="2"/>
      <c r="W380" s="2"/>
      <c r="X380" s="2"/>
      <c r="Y380" s="2"/>
      <c r="Z380" s="2"/>
      <c r="AA380" s="2"/>
      <c r="AB380" s="41"/>
    </row>
    <row r="381" spans="2:28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  <c r="U381" s="2"/>
      <c r="V381" s="2"/>
      <c r="W381" s="2"/>
      <c r="X381" s="2"/>
      <c r="Y381" s="2"/>
      <c r="Z381" s="2"/>
      <c r="AA381" s="2"/>
      <c r="AB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3" name="Button 2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0</xdr:row>
                    <xdr:rowOff>158750</xdr:rowOff>
                  </from>
                  <to>
                    <xdr:col>1</xdr:col>
                    <xdr:colOff>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044DB-06B5-471A-B0BA-CB0193462D93}">
  <sheetPr codeName="Sheet45">
    <tabColor rgb="FF00B0F0"/>
  </sheetPr>
  <dimension ref="A1:I24"/>
  <sheetViews>
    <sheetView workbookViewId="0">
      <pane ySplit="2" topLeftCell="A3" activePane="bottomLeft" state="frozen"/>
      <selection pane="bottomLeft" activeCell="B2" sqref="B2:E2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Employee #1</v>
      </c>
      <c r="B2" s="115" t="str">
        <f>IFERROR(_xlfn.XLOOKUP(A2,'QA WK4'!A:A,'QA WK4'!I:I),"")</f>
        <v/>
      </c>
      <c r="C2" s="94" t="str">
        <f>IFERROR(_xlfn.XLOOKUP(A2,'ME0025 WK4'!A:A,'ME0025 WK4'!J:J),"")</f>
        <v/>
      </c>
      <c r="D2" s="120" t="str">
        <f>IFERROR(C2/$C$23,"")</f>
        <v/>
      </c>
      <c r="E2" s="116" t="str">
        <f>IFERROR(_xlfn.XLOOKUP(A2,'ME0025 WK4'!A:A,'ME0025 WK4'!F:F),"")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Employee #2</v>
      </c>
      <c r="B3" s="115" t="str">
        <f>IFERROR(_xlfn.XLOOKUP(A3,'QA WK4'!A:A,'QA WK4'!I:I),"")</f>
        <v/>
      </c>
      <c r="C3" s="94" t="str">
        <f>IFERROR(_xlfn.XLOOKUP(A3,'ME0025 WK4'!A:A,'ME0025 WK4'!J:J),"")</f>
        <v/>
      </c>
      <c r="D3" s="120" t="str">
        <f t="shared" ref="D3:D22" si="1">IFERROR(C3/$C$23,"")</f>
        <v/>
      </c>
      <c r="E3" s="116" t="str">
        <f>IFERROR(_xlfn.XLOOKUP(A3,'ME0025 WK4'!A:A,'ME0025 WK4'!F:F),"")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Employee #3</v>
      </c>
      <c r="B4" s="115" t="str">
        <f>IFERROR(_xlfn.XLOOKUP(A4,'QA WK4'!A:A,'QA WK4'!I:I),"")</f>
        <v/>
      </c>
      <c r="C4" s="94" t="str">
        <f>IFERROR(_xlfn.XLOOKUP(A4,'ME0025 WK4'!A:A,'ME0025 WK4'!J:J),"")</f>
        <v/>
      </c>
      <c r="D4" s="120" t="str">
        <f t="shared" si="1"/>
        <v/>
      </c>
      <c r="E4" s="116" t="str">
        <f>IFERROR(_xlfn.XLOOKUP(A4,'ME0025 WK4'!A:A,'ME0025 WK4'!F:F),"")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Employee #4</v>
      </c>
      <c r="B5" s="115" t="str">
        <f>IFERROR(_xlfn.XLOOKUP(A5,'QA WK4'!A:A,'QA WK4'!I:I),"")</f>
        <v/>
      </c>
      <c r="C5" s="94" t="str">
        <f>IFERROR(_xlfn.XLOOKUP(A5,'ME0025 WK4'!A:A,'ME0025 WK4'!J:J),"")</f>
        <v/>
      </c>
      <c r="D5" s="120" t="str">
        <f t="shared" si="1"/>
        <v/>
      </c>
      <c r="E5" s="116" t="str">
        <f>IFERROR(_xlfn.XLOOKUP(A5,'ME0025 WK4'!A:A,'ME0025 WK4'!F:F),"")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Employee #5</v>
      </c>
      <c r="B6" s="115" t="str">
        <f>IFERROR(_xlfn.XLOOKUP(A6,'QA WK4'!A:A,'QA WK4'!I:I),"")</f>
        <v/>
      </c>
      <c r="C6" s="94" t="str">
        <f>IFERROR(_xlfn.XLOOKUP(A6,'ME0025 WK4'!A:A,'ME0025 WK4'!J:J),"")</f>
        <v/>
      </c>
      <c r="D6" s="120" t="str">
        <f t="shared" si="1"/>
        <v/>
      </c>
      <c r="E6" s="116" t="str">
        <f>IFERROR(_xlfn.XLOOKUP(A6,'ME0025 WK4'!A:A,'ME0025 WK4'!F:F),"")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Employee #6</v>
      </c>
      <c r="B7" s="115" t="str">
        <f>IFERROR(_xlfn.XLOOKUP(A7,'QA WK4'!A:A,'QA WK4'!I:I),"")</f>
        <v/>
      </c>
      <c r="C7" s="94" t="str">
        <f>IFERROR(_xlfn.XLOOKUP(A7,'ME0025 WK4'!A:A,'ME0025 WK4'!J:J),"")</f>
        <v/>
      </c>
      <c r="D7" s="120" t="str">
        <f t="shared" si="1"/>
        <v/>
      </c>
      <c r="E7" s="116" t="str">
        <f>IFERROR(_xlfn.XLOOKUP(A7,'ME0025 WK4'!A:A,'ME0025 WK4'!F:F),"")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Employee #7</v>
      </c>
      <c r="B8" s="115" t="str">
        <f>IFERROR(_xlfn.XLOOKUP(A8,'QA WK4'!A:A,'QA WK4'!I:I),"")</f>
        <v/>
      </c>
      <c r="C8" s="94" t="str">
        <f>IFERROR(_xlfn.XLOOKUP(A8,'ME0025 WK4'!A:A,'ME0025 WK4'!J:J),"")</f>
        <v/>
      </c>
      <c r="D8" s="120" t="str">
        <f t="shared" si="1"/>
        <v/>
      </c>
      <c r="E8" s="116" t="str">
        <f>IFERROR(_xlfn.XLOOKUP(A8,'ME0025 WK4'!A:A,'ME0025 WK4'!F:F),"")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Employee #8</v>
      </c>
      <c r="B9" s="115" t="str">
        <f>IFERROR(_xlfn.XLOOKUP(A9,'QA WK4'!A:A,'QA WK4'!I:I),"")</f>
        <v/>
      </c>
      <c r="C9" s="94" t="str">
        <f>IFERROR(_xlfn.XLOOKUP(A9,'ME0025 WK4'!A:A,'ME0025 WK4'!J:J),"")</f>
        <v/>
      </c>
      <c r="D9" s="120" t="str">
        <f t="shared" si="1"/>
        <v/>
      </c>
      <c r="E9" s="116" t="str">
        <f>IFERROR(_xlfn.XLOOKUP(A9,'ME0025 WK4'!A:A,'ME0025 WK4'!F:F),"")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Employee #9</v>
      </c>
      <c r="B10" s="115" t="str">
        <f>IFERROR(_xlfn.XLOOKUP(A10,'QA WK4'!A:A,'QA WK4'!I:I),"")</f>
        <v/>
      </c>
      <c r="C10" s="94" t="str">
        <f>IFERROR(_xlfn.XLOOKUP(A10,'ME0025 WK4'!A:A,'ME0025 WK4'!J:J),"")</f>
        <v/>
      </c>
      <c r="D10" s="120" t="str">
        <f t="shared" si="1"/>
        <v/>
      </c>
      <c r="E10" s="116" t="str">
        <f>IFERROR(_xlfn.XLOOKUP(A10,'ME0025 WK4'!A:A,'ME0025 WK4'!F:F),"")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Employee #10</v>
      </c>
      <c r="B11" s="115" t="str">
        <f>IFERROR(_xlfn.XLOOKUP(A11,'QA WK4'!A:A,'QA WK4'!I:I),"")</f>
        <v/>
      </c>
      <c r="C11" s="94" t="str">
        <f>IFERROR(_xlfn.XLOOKUP(A11,'ME0025 WK4'!A:A,'ME0025 WK4'!J:J),"")</f>
        <v/>
      </c>
      <c r="D11" s="120" t="str">
        <f t="shared" si="1"/>
        <v/>
      </c>
      <c r="E11" s="116" t="str">
        <f>IFERROR(_xlfn.XLOOKUP(A11,'ME0025 WK4'!A:A,'ME0025 WK4'!F:F),"")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Employee #11</v>
      </c>
      <c r="B12" s="115" t="str">
        <f>IFERROR(_xlfn.XLOOKUP(A12,'QA WK4'!A:A,'QA WK4'!I:I),"")</f>
        <v/>
      </c>
      <c r="C12" s="94" t="str">
        <f>IFERROR(_xlfn.XLOOKUP(A12,'ME0025 WK4'!A:A,'ME0025 WK4'!J:J),"")</f>
        <v/>
      </c>
      <c r="D12" s="120" t="str">
        <f t="shared" si="1"/>
        <v/>
      </c>
      <c r="E12" s="116" t="str">
        <f>IFERROR(_xlfn.XLOOKUP(A12,'ME0025 WK4'!A:A,'ME0025 WK4'!F:F),"")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Employee #12</v>
      </c>
      <c r="B13" s="115" t="str">
        <f>IFERROR(_xlfn.XLOOKUP(A13,'QA WK4'!A:A,'QA WK4'!I:I),"")</f>
        <v/>
      </c>
      <c r="C13" s="94" t="str">
        <f>IFERROR(_xlfn.XLOOKUP(A13,'ME0025 WK4'!A:A,'ME0025 WK4'!J:J),"")</f>
        <v/>
      </c>
      <c r="D13" s="120" t="str">
        <f t="shared" si="1"/>
        <v/>
      </c>
      <c r="E13" s="116" t="str">
        <f>IFERROR(_xlfn.XLOOKUP(A13,'ME0025 WK4'!A:A,'ME0025 WK4'!F:F),"")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Employee #13</v>
      </c>
      <c r="B14" s="115" t="str">
        <f>IFERROR(_xlfn.XLOOKUP(A14,'QA WK4'!A:A,'QA WK4'!I:I),"")</f>
        <v/>
      </c>
      <c r="C14" s="94" t="str">
        <f>IFERROR(_xlfn.XLOOKUP(A14,'ME0025 WK4'!A:A,'ME0025 WK4'!J:J),"")</f>
        <v/>
      </c>
      <c r="D14" s="120" t="str">
        <f t="shared" si="1"/>
        <v/>
      </c>
      <c r="E14" s="116" t="str">
        <f>IFERROR(_xlfn.XLOOKUP(A14,'ME0025 WK4'!A:A,'ME0025 WK4'!F:F),"")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Employee #14</v>
      </c>
      <c r="B15" s="115" t="str">
        <f>IFERROR(_xlfn.XLOOKUP(A15,'QA WK4'!A:A,'QA WK4'!I:I),"")</f>
        <v/>
      </c>
      <c r="C15" s="94" t="str">
        <f>IFERROR(_xlfn.XLOOKUP(A15,'ME0025 WK4'!A:A,'ME0025 WK4'!J:J),"")</f>
        <v/>
      </c>
      <c r="D15" s="120" t="str">
        <f t="shared" si="1"/>
        <v/>
      </c>
      <c r="E15" s="116" t="str">
        <f>IFERROR(_xlfn.XLOOKUP(A15,'ME0025 WK4'!A:A,'ME0025 WK4'!F:F),"")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WK4'!A:A,'QA WK4'!I:I),"")</f>
        <v/>
      </c>
      <c r="C16" s="94" t="str">
        <f>IFERROR(_xlfn.XLOOKUP(A16,'ME0025 WK4'!A:A,'ME0025 WK4'!J:J),"")</f>
        <v/>
      </c>
      <c r="D16" s="120" t="str">
        <f t="shared" si="1"/>
        <v/>
      </c>
      <c r="E16" s="116" t="str">
        <f>IFERROR(_xlfn.XLOOKUP(A16,'ME0025 WK4'!A:A,'ME0025 WK4'!F:F),"")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WK4'!A:A,'QA WK4'!I:I),"")</f>
        <v/>
      </c>
      <c r="C17" s="94" t="str">
        <f>IFERROR(_xlfn.XLOOKUP(A17,'ME0025 WK4'!A:A,'ME0025 WK4'!J:J),"")</f>
        <v/>
      </c>
      <c r="D17" s="120" t="str">
        <f t="shared" si="1"/>
        <v/>
      </c>
      <c r="E17" s="116" t="str">
        <f>IFERROR(_xlfn.XLOOKUP(A17,'ME0025 WK4'!A:A,'ME0025 WK4'!F:F),"")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WK4'!A:A,'QA WK4'!I:I),"")</f>
        <v/>
      </c>
      <c r="C18" s="94" t="str">
        <f>IFERROR(_xlfn.XLOOKUP(A18,'ME0025 WK4'!A:A,'ME0025 WK4'!J:J),"")</f>
        <v/>
      </c>
      <c r="D18" s="120" t="str">
        <f t="shared" si="1"/>
        <v/>
      </c>
      <c r="E18" s="116" t="str">
        <f>IFERROR(_xlfn.XLOOKUP(A18,'ME0025 WK4'!A:A,'ME0025 WK4'!F:F),"")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WK4'!A:A,'QA WK4'!I:I),"")</f>
        <v/>
      </c>
      <c r="C19" s="94" t="str">
        <f>IFERROR(_xlfn.XLOOKUP(A19,'ME0025 WK4'!A:A,'ME0025 WK4'!J:J),"")</f>
        <v/>
      </c>
      <c r="D19" s="120" t="str">
        <f t="shared" si="1"/>
        <v/>
      </c>
      <c r="E19" s="116" t="str">
        <f>IFERROR(_xlfn.XLOOKUP(A19,'ME0025 WK4'!A:A,'ME0025 WK4'!F:F),"")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WK4'!A:A,'QA WK4'!I:I),"")</f>
        <v/>
      </c>
      <c r="C20" s="94" t="str">
        <f>IFERROR(_xlfn.XLOOKUP(A20,'ME0025 WK4'!A:A,'ME0025 WK4'!J:J),"")</f>
        <v/>
      </c>
      <c r="D20" s="120" t="str">
        <f t="shared" si="1"/>
        <v/>
      </c>
      <c r="E20" s="116" t="str">
        <f>IFERROR(_xlfn.XLOOKUP(A20,'ME0025 WK4'!A:A,'ME0025 WK4'!F:F),"")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WK4'!A:A,'QA WK4'!I:I),"")</f>
        <v/>
      </c>
      <c r="C21" s="94" t="str">
        <f>IFERROR(_xlfn.XLOOKUP(A21,'ME0025 WK4'!A:A,'ME0025 WK4'!J:J),"")</f>
        <v/>
      </c>
      <c r="D21" s="120" t="str">
        <f t="shared" si="1"/>
        <v/>
      </c>
      <c r="E21" s="116" t="str">
        <f>IFERROR(_xlfn.XLOOKUP(A21,'ME0025 WK4'!A:A,'ME0025 WK4'!F:F),"")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WK4'!A:A,'QA WK4'!I:I),"")</f>
        <v/>
      </c>
      <c r="C22" s="94" t="str">
        <f>IFERROR(_xlfn.XLOOKUP(A22,'ME0025 WK4'!A:A,'ME0025 WK4'!J:J),"")</f>
        <v/>
      </c>
      <c r="D22" s="120" t="str">
        <f t="shared" si="1"/>
        <v/>
      </c>
      <c r="E22" s="116" t="str">
        <f>IFERROR(_xlfn.XLOOKUP(A22,'ME0025 WK4'!A:A,'ME0025 WK4'!F:F),"")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2" t="s">
        <v>45</v>
      </c>
      <c r="B23" s="203"/>
      <c r="C23" s="121">
        <v>3.25</v>
      </c>
      <c r="D23" s="200" t="s">
        <v>21</v>
      </c>
      <c r="E23" s="201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kwoGZmCGLLDn3yD4d0PvvdrBI47EPAasGI75gcthFoC3tiIOuRMc8pgd2t7e536AJ7KmVpkeyHTynXPtvNy3dA==" saltValue="DMqxsKn5ZX5oBfNYoe5uaQ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E85D7-0FDD-4AFB-BBDC-F538831B3787}">
  <sheetPr codeName="Sheet11">
    <tabColor rgb="FF00B0F0"/>
  </sheetPr>
  <dimension ref="A1:I30"/>
  <sheetViews>
    <sheetView workbookViewId="0">
      <selection activeCell="B4" sqref="B4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51</v>
      </c>
      <c r="C1" s="111" t="s">
        <v>52</v>
      </c>
      <c r="D1" s="111" t="s">
        <v>53</v>
      </c>
      <c r="E1" s="157" t="s">
        <v>54</v>
      </c>
      <c r="F1" s="158" t="s">
        <v>55</v>
      </c>
      <c r="G1" s="158" t="s">
        <v>56</v>
      </c>
      <c r="H1" s="158" t="s">
        <v>57</v>
      </c>
      <c r="I1" s="158" t="s">
        <v>58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4" name="Button 2">
              <controlPr defaultSize="0" print="0" autoFill="0" autoPict="0" macro="[0]!ClearQA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5113-B103-4160-BFDD-5829AEDE8576}">
  <sheetPr codeName="Sheet42">
    <tabColor rgb="FF00B0F0"/>
  </sheetPr>
  <dimension ref="A1:N381"/>
  <sheetViews>
    <sheetView workbookViewId="0">
      <selection activeCell="B9" sqref="B9:B10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1" bestFit="1" customWidth="1"/>
    <col min="7" max="7" width="8.90625" style="1" bestFit="1" customWidth="1"/>
    <col min="8" max="8" width="9.6328125" style="1" bestFit="1" customWidth="1"/>
    <col min="9" max="9" width="16.36328125" style="1" bestFit="1" customWidth="1"/>
    <col min="10" max="10" width="24" style="1" bestFit="1" customWidth="1"/>
    <col min="11" max="11" width="20" style="1" bestFit="1" customWidth="1"/>
    <col min="12" max="12" width="20.453125" style="1" bestFit="1" customWidth="1"/>
    <col min="13" max="13" width="23.1796875" style="1" bestFit="1" customWidth="1"/>
    <col min="14" max="14" width="16.08984375" style="1" bestFit="1" customWidth="1"/>
    <col min="15" max="16384" width="9.08984375" style="1"/>
  </cols>
  <sheetData>
    <row r="1" spans="1:14" s="162" customFormat="1" x14ac:dyDescent="0.35">
      <c r="A1" s="159" t="s">
        <v>1</v>
      </c>
      <c r="B1" s="159" t="s">
        <v>2</v>
      </c>
      <c r="C1" s="159" t="s">
        <v>3</v>
      </c>
      <c r="D1" s="159" t="s">
        <v>10</v>
      </c>
      <c r="E1" s="159" t="s">
        <v>4</v>
      </c>
      <c r="F1" s="159" t="s">
        <v>5</v>
      </c>
      <c r="G1" s="159" t="s">
        <v>6</v>
      </c>
      <c r="H1" s="159" t="s">
        <v>59</v>
      </c>
      <c r="I1" s="160" t="s">
        <v>7</v>
      </c>
      <c r="J1" s="161" t="s">
        <v>60</v>
      </c>
      <c r="K1" s="160" t="s">
        <v>8</v>
      </c>
      <c r="L1" s="159" t="s">
        <v>9</v>
      </c>
      <c r="M1" s="159" t="s">
        <v>61</v>
      </c>
      <c r="N1" s="159" t="s">
        <v>62</v>
      </c>
    </row>
    <row r="2" spans="1:14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</row>
    <row r="3" spans="1:14" ht="15" thickBot="1" x14ac:dyDescent="0.4">
      <c r="A3" s="33"/>
      <c r="B3" s="30"/>
      <c r="C3" s="10"/>
      <c r="D3" s="10"/>
      <c r="E3" s="5"/>
      <c r="F3" s="10"/>
      <c r="G3" s="5"/>
      <c r="H3" s="10"/>
      <c r="I3" s="5"/>
      <c r="J3" s="10"/>
      <c r="K3" s="10"/>
      <c r="L3" s="10"/>
      <c r="M3" s="10"/>
      <c r="N3" s="10"/>
    </row>
    <row r="4" spans="1:14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</row>
    <row r="5" spans="1:14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</row>
    <row r="6" spans="1:14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</row>
    <row r="7" spans="1:14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</row>
    <row r="8" spans="1:14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</row>
    <row r="9" spans="1:14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</row>
    <row r="10" spans="1:14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</row>
    <row r="11" spans="1:14" x14ac:dyDescent="0.35">
      <c r="A11" s="4"/>
      <c r="B11" s="12"/>
      <c r="C11" s="13"/>
      <c r="D11" s="13"/>
      <c r="E11" s="14"/>
      <c r="F11" s="20"/>
      <c r="G11" s="14"/>
      <c r="H11" s="13"/>
      <c r="I11" s="14"/>
      <c r="J11" s="13"/>
      <c r="K11" s="13"/>
      <c r="L11" s="13"/>
      <c r="M11" s="13"/>
      <c r="N11" s="13"/>
    </row>
    <row r="12" spans="1:14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</row>
    <row r="13" spans="1:14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</row>
    <row r="14" spans="1:14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</row>
    <row r="15" spans="1:14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</row>
    <row r="16" spans="1:14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</row>
    <row r="17" spans="1:14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</row>
    <row r="18" spans="1:14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</row>
    <row r="19" spans="1:14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</row>
    <row r="20" spans="1:14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</row>
    <row r="21" spans="1:14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</row>
    <row r="22" spans="1:14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</row>
    <row r="23" spans="1:14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</row>
    <row r="24" spans="1:14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</row>
    <row r="25" spans="1:14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</row>
    <row r="26" spans="1:14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</row>
    <row r="27" spans="1:14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</row>
    <row r="28" spans="1:14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</row>
    <row r="29" spans="1:14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</row>
    <row r="30" spans="1:14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</row>
    <row r="31" spans="1:14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</row>
    <row r="32" spans="1:14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</row>
    <row r="33" spans="1:14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</row>
    <row r="34" spans="1:14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</row>
    <row r="35" spans="1:14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</row>
    <row r="36" spans="1:14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</row>
    <row r="37" spans="1:14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</row>
    <row r="38" spans="1:14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</row>
    <row r="39" spans="1:14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</row>
    <row r="40" spans="1:14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</row>
    <row r="41" spans="1:14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</row>
    <row r="42" spans="1:14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</row>
    <row r="43" spans="1:14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</row>
    <row r="44" spans="1:14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</row>
    <row r="45" spans="1:14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</row>
    <row r="46" spans="1:14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</row>
    <row r="47" spans="1:14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</row>
    <row r="48" spans="1:14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</row>
    <row r="49" spans="2:14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</row>
    <row r="50" spans="2:14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</row>
    <row r="51" spans="2:14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</row>
    <row r="52" spans="2:14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</row>
    <row r="53" spans="2:14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</row>
    <row r="54" spans="2:14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</row>
    <row r="55" spans="2:14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</row>
    <row r="56" spans="2:14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</row>
    <row r="57" spans="2:14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</row>
    <row r="58" spans="2:14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</row>
    <row r="59" spans="2:14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</row>
    <row r="60" spans="2:14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</row>
    <row r="61" spans="2:14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</row>
    <row r="62" spans="2:14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</row>
    <row r="63" spans="2:14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</row>
    <row r="64" spans="2:14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</row>
    <row r="65" spans="2:14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</row>
    <row r="66" spans="2:14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</row>
    <row r="67" spans="2:14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</row>
    <row r="68" spans="2:14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</row>
    <row r="69" spans="2:14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</row>
    <row r="70" spans="2:14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</row>
    <row r="71" spans="2:14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</row>
    <row r="72" spans="2:14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</row>
    <row r="73" spans="2:14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</row>
    <row r="74" spans="2:14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</row>
    <row r="75" spans="2:14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</row>
    <row r="76" spans="2:14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</row>
    <row r="77" spans="2:14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</row>
    <row r="78" spans="2:14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</row>
    <row r="79" spans="2:14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</row>
    <row r="80" spans="2:14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</row>
    <row r="81" spans="2:14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</row>
    <row r="82" spans="2:14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</row>
    <row r="83" spans="2:14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</row>
    <row r="84" spans="2:14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</row>
    <row r="85" spans="2:14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</row>
    <row r="86" spans="2:14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</row>
    <row r="87" spans="2:14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</row>
    <row r="88" spans="2:14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</row>
    <row r="89" spans="2:14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</row>
    <row r="90" spans="2:14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</row>
    <row r="91" spans="2:14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</row>
    <row r="92" spans="2:14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</row>
    <row r="93" spans="2:14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</row>
    <row r="94" spans="2:14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</row>
    <row r="95" spans="2:14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</row>
    <row r="96" spans="2:14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</row>
    <row r="97" spans="2:14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</row>
    <row r="98" spans="2:14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</row>
    <row r="99" spans="2:14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</row>
    <row r="100" spans="2:14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</row>
    <row r="101" spans="2:14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</row>
    <row r="102" spans="2:14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</row>
    <row r="103" spans="2:14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</row>
    <row r="104" spans="2:14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</row>
    <row r="105" spans="2:14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</row>
    <row r="106" spans="2:14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</row>
    <row r="107" spans="2:14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</row>
    <row r="108" spans="2:14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</row>
    <row r="109" spans="2:14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</row>
    <row r="110" spans="2:14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</row>
    <row r="111" spans="2:14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</row>
    <row r="112" spans="2:14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</row>
    <row r="113" spans="2:14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</row>
    <row r="114" spans="2:14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</row>
    <row r="115" spans="2:14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</row>
    <row r="116" spans="2:14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</row>
    <row r="117" spans="2:14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</row>
    <row r="118" spans="2:14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</row>
    <row r="119" spans="2:14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</row>
    <row r="120" spans="2:14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</row>
    <row r="121" spans="2:14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</row>
    <row r="122" spans="2:14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</row>
    <row r="123" spans="2:14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</row>
    <row r="124" spans="2:14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</row>
    <row r="125" spans="2:14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</row>
    <row r="126" spans="2:14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</row>
    <row r="127" spans="2:14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</row>
    <row r="128" spans="2:14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</row>
    <row r="129" spans="2:14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</row>
    <row r="130" spans="2:14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</row>
    <row r="131" spans="2:14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</row>
    <row r="132" spans="2:14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</row>
    <row r="133" spans="2:14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</row>
    <row r="134" spans="2:14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</row>
    <row r="135" spans="2:14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</row>
    <row r="136" spans="2:14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</row>
    <row r="137" spans="2:14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</row>
    <row r="138" spans="2:14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</row>
    <row r="139" spans="2:14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</row>
    <row r="140" spans="2:14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</row>
    <row r="141" spans="2:14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</row>
    <row r="142" spans="2:14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</row>
    <row r="143" spans="2:14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</row>
    <row r="144" spans="2:14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</row>
    <row r="145" spans="2:14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</row>
    <row r="146" spans="2:14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</row>
    <row r="147" spans="2:14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</row>
    <row r="148" spans="2:14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</row>
    <row r="149" spans="2:14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</row>
    <row r="150" spans="2:14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</row>
    <row r="151" spans="2:14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</row>
    <row r="152" spans="2:14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</row>
    <row r="153" spans="2:14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</row>
    <row r="154" spans="2:14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</row>
    <row r="155" spans="2:14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</row>
    <row r="156" spans="2:14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</row>
    <row r="157" spans="2:14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</row>
    <row r="158" spans="2:14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</row>
    <row r="159" spans="2:14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</row>
    <row r="160" spans="2:14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</row>
    <row r="161" spans="2:14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</row>
    <row r="162" spans="2:14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</row>
    <row r="163" spans="2:14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</row>
    <row r="164" spans="2:14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</row>
    <row r="165" spans="2:14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</row>
    <row r="166" spans="2:14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</row>
    <row r="167" spans="2:14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</row>
    <row r="168" spans="2:14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</row>
    <row r="169" spans="2:14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</row>
    <row r="170" spans="2:14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</row>
    <row r="171" spans="2:14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</row>
    <row r="172" spans="2:14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</row>
    <row r="173" spans="2:14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</row>
    <row r="174" spans="2:14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</row>
    <row r="175" spans="2:14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</row>
    <row r="176" spans="2:14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</row>
    <row r="177" spans="2:14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</row>
    <row r="178" spans="2:14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</row>
    <row r="179" spans="2:14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</row>
    <row r="180" spans="2:14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</row>
    <row r="181" spans="2:14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</row>
    <row r="182" spans="2:14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</row>
    <row r="183" spans="2:14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</row>
    <row r="184" spans="2:14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</row>
    <row r="185" spans="2:14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</row>
    <row r="186" spans="2:14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</row>
    <row r="187" spans="2:14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</row>
    <row r="188" spans="2:14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</row>
    <row r="189" spans="2:14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</row>
    <row r="190" spans="2:14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</row>
    <row r="191" spans="2:14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</row>
    <row r="192" spans="2:14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</row>
    <row r="193" spans="2:14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</row>
    <row r="194" spans="2:14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</row>
    <row r="195" spans="2:14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</row>
    <row r="196" spans="2:14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</row>
    <row r="197" spans="2:14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</row>
    <row r="198" spans="2:14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</row>
    <row r="199" spans="2:14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</row>
    <row r="200" spans="2:14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</row>
    <row r="201" spans="2:14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</row>
    <row r="202" spans="2:14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</row>
    <row r="203" spans="2:14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</row>
    <row r="204" spans="2:14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</row>
    <row r="205" spans="2:14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</row>
    <row r="206" spans="2:14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</row>
    <row r="207" spans="2:14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</row>
    <row r="208" spans="2:14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</row>
    <row r="209" spans="2:14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</row>
    <row r="210" spans="2:14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</row>
    <row r="211" spans="2:14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</row>
    <row r="212" spans="2:14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</row>
    <row r="213" spans="2:14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</row>
    <row r="214" spans="2:14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</row>
    <row r="215" spans="2:14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</row>
    <row r="216" spans="2:14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</row>
    <row r="217" spans="2:14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</row>
    <row r="218" spans="2:14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</row>
    <row r="219" spans="2:14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</row>
    <row r="220" spans="2:14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</row>
    <row r="221" spans="2:14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</row>
    <row r="222" spans="2:14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</row>
    <row r="223" spans="2:14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</row>
    <row r="224" spans="2:14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</row>
    <row r="225" spans="2:14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</row>
    <row r="226" spans="2:14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</row>
    <row r="227" spans="2:14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</row>
    <row r="228" spans="2:14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</row>
    <row r="229" spans="2:14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</row>
    <row r="230" spans="2:14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</row>
    <row r="231" spans="2:14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</row>
    <row r="232" spans="2:14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</row>
    <row r="233" spans="2:14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</row>
    <row r="234" spans="2:14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</row>
    <row r="235" spans="2:14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</row>
    <row r="236" spans="2:14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</row>
    <row r="237" spans="2:14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</row>
    <row r="238" spans="2:14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</row>
    <row r="239" spans="2:14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</row>
    <row r="240" spans="2:14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</row>
    <row r="241" spans="2:14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</row>
    <row r="242" spans="2:14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</row>
    <row r="243" spans="2:14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</row>
    <row r="244" spans="2:14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</row>
    <row r="245" spans="2:14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</row>
    <row r="246" spans="2:14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</row>
    <row r="247" spans="2:14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</row>
    <row r="248" spans="2:14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</row>
    <row r="249" spans="2:14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</row>
    <row r="250" spans="2:14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</row>
    <row r="251" spans="2:14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</row>
    <row r="252" spans="2:14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</row>
    <row r="253" spans="2:14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</row>
    <row r="254" spans="2:14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</row>
    <row r="255" spans="2:14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</row>
    <row r="256" spans="2:14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</row>
    <row r="257" spans="2:14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</row>
    <row r="258" spans="2:14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</row>
    <row r="259" spans="2:14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</row>
    <row r="260" spans="2:14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</row>
    <row r="261" spans="2:14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</row>
    <row r="262" spans="2:14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</row>
    <row r="263" spans="2:14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</row>
    <row r="264" spans="2:14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</row>
    <row r="265" spans="2:14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</row>
    <row r="266" spans="2:14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</row>
    <row r="267" spans="2:14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</row>
    <row r="268" spans="2:14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</row>
    <row r="269" spans="2:14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</row>
    <row r="270" spans="2:14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</row>
    <row r="271" spans="2:14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</row>
    <row r="272" spans="2:14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</row>
    <row r="273" spans="2:14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</row>
    <row r="274" spans="2:14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</row>
    <row r="275" spans="2:14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</row>
    <row r="276" spans="2:14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</row>
    <row r="277" spans="2:14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</row>
    <row r="278" spans="2:14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</row>
    <row r="279" spans="2:14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</row>
    <row r="280" spans="2:14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</row>
    <row r="281" spans="2:14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</row>
    <row r="282" spans="2:14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</row>
    <row r="283" spans="2:14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</row>
    <row r="284" spans="2:14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</row>
    <row r="285" spans="2:14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</row>
    <row r="286" spans="2:14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</row>
    <row r="287" spans="2:14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</row>
    <row r="288" spans="2:14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</row>
    <row r="289" spans="2:14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</row>
    <row r="290" spans="2:14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</row>
    <row r="291" spans="2:14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</row>
    <row r="292" spans="2:14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</row>
    <row r="293" spans="2:14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</row>
    <row r="294" spans="2:14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</row>
    <row r="295" spans="2:14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</row>
    <row r="296" spans="2:14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</row>
    <row r="297" spans="2:14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</row>
    <row r="298" spans="2:14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</row>
    <row r="299" spans="2:14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</row>
    <row r="300" spans="2:14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</row>
    <row r="301" spans="2:14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</row>
    <row r="302" spans="2:14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</row>
    <row r="303" spans="2:14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</row>
    <row r="304" spans="2:14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</row>
    <row r="305" spans="2:14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</row>
    <row r="306" spans="2:14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</row>
    <row r="307" spans="2:14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</row>
    <row r="308" spans="2:14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</row>
    <row r="309" spans="2:14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</row>
    <row r="310" spans="2:14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</row>
    <row r="311" spans="2:14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</row>
    <row r="312" spans="2:14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</row>
    <row r="313" spans="2:14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</row>
    <row r="314" spans="2:14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</row>
    <row r="315" spans="2:14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</row>
    <row r="316" spans="2:14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</row>
    <row r="317" spans="2:14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</row>
    <row r="318" spans="2:14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</row>
    <row r="319" spans="2:14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</row>
    <row r="320" spans="2:14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</row>
    <row r="321" spans="2:14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</row>
    <row r="322" spans="2:14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</row>
    <row r="323" spans="2:14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</row>
    <row r="324" spans="2:14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</row>
    <row r="325" spans="2:14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</row>
    <row r="326" spans="2:14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</row>
    <row r="327" spans="2:14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</row>
    <row r="328" spans="2:14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</row>
    <row r="329" spans="2:14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</row>
    <row r="330" spans="2:14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</row>
    <row r="331" spans="2:14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</row>
    <row r="332" spans="2:14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</row>
    <row r="333" spans="2:14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</row>
    <row r="334" spans="2:14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</row>
    <row r="335" spans="2:14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</row>
    <row r="336" spans="2:14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</row>
    <row r="337" spans="2:14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</row>
    <row r="338" spans="2:14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</row>
    <row r="339" spans="2:14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</row>
    <row r="340" spans="2:14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</row>
    <row r="341" spans="2:14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</row>
    <row r="342" spans="2:14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</row>
    <row r="343" spans="2:14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</row>
    <row r="344" spans="2:14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</row>
    <row r="345" spans="2:14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</row>
    <row r="346" spans="2:14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</row>
    <row r="347" spans="2:14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</row>
    <row r="348" spans="2:14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</row>
    <row r="349" spans="2:14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</row>
    <row r="350" spans="2:14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</row>
    <row r="351" spans="2:14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</row>
    <row r="352" spans="2:14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</row>
    <row r="353" spans="2:14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</row>
    <row r="354" spans="2:14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</row>
    <row r="355" spans="2:14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</row>
    <row r="356" spans="2:14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</row>
    <row r="357" spans="2:14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</row>
    <row r="358" spans="2:14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</row>
    <row r="359" spans="2:14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</row>
    <row r="360" spans="2:14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</row>
    <row r="361" spans="2:14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</row>
    <row r="362" spans="2:14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</row>
    <row r="363" spans="2:14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</row>
    <row r="364" spans="2:14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</row>
    <row r="365" spans="2:14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</row>
    <row r="366" spans="2:14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</row>
    <row r="367" spans="2:14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</row>
    <row r="368" spans="2:14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</row>
    <row r="369" spans="2:14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</row>
    <row r="370" spans="2:14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</row>
    <row r="371" spans="2:14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</row>
    <row r="372" spans="2:14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</row>
    <row r="373" spans="2:14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</row>
    <row r="374" spans="2:14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</row>
    <row r="375" spans="2:14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</row>
    <row r="376" spans="2:14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</row>
    <row r="377" spans="2:14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</row>
    <row r="378" spans="2:14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</row>
    <row r="379" spans="2:14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</row>
    <row r="380" spans="2:14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</row>
    <row r="381" spans="2:14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0</xdr:row>
                    <xdr:rowOff>177800</xdr:rowOff>
                  </from>
                  <to>
                    <xdr:col>1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C03DF-A0FB-41AC-B167-5C4F7DF306ED}">
  <sheetPr codeName="Sheet41">
    <tabColor rgb="FF00B050"/>
  </sheetPr>
  <dimension ref="A1:I24"/>
  <sheetViews>
    <sheetView workbookViewId="0">
      <pane ySplit="2" topLeftCell="A3" activePane="bottomLeft" state="frozen"/>
      <selection pane="bottomLeft" activeCell="T26" sqref="T26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Employee #1</v>
      </c>
      <c r="B2" s="115" t="str">
        <f>IFERROR(_xlfn.XLOOKUP(A2,'QA WK5'!A:A,'QA WK5'!I:I),"")</f>
        <v/>
      </c>
      <c r="C2" s="94" t="str">
        <f>IFERROR(_xlfn.XLOOKUP(A2,'ME0025 WK5'!A:A,'ME0025 WK5'!J:J),"")</f>
        <v/>
      </c>
      <c r="D2" s="120" t="str">
        <f>IFERROR(C2/$C$23,"")</f>
        <v/>
      </c>
      <c r="E2" s="116" t="str">
        <f>IFERROR(_xlfn.XLOOKUP(A2,'ME0025 WK5'!A:A,'ME0025 WK5'!F:F),"")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Employee #2</v>
      </c>
      <c r="B3" s="115" t="str">
        <f>IFERROR(_xlfn.XLOOKUP(A3,'QA WK5'!A:A,'QA WK5'!I:I),"")</f>
        <v/>
      </c>
      <c r="C3" s="94" t="str">
        <f>IFERROR(_xlfn.XLOOKUP(A3,'ME0025 WK5'!A:A,'ME0025 WK5'!J:J),"")</f>
        <v/>
      </c>
      <c r="D3" s="120" t="str">
        <f t="shared" ref="D3:D22" si="1">IFERROR(C3/$C$23,"")</f>
        <v/>
      </c>
      <c r="E3" s="116" t="str">
        <f>IFERROR(_xlfn.XLOOKUP(A3,'ME0025 WK5'!A:A,'ME0025 WK5'!F:F),"")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Employee #3</v>
      </c>
      <c r="B4" s="115" t="str">
        <f>IFERROR(_xlfn.XLOOKUP(A4,'QA WK5'!A:A,'QA WK5'!I:I),"")</f>
        <v/>
      </c>
      <c r="C4" s="94" t="str">
        <f>IFERROR(_xlfn.XLOOKUP(A4,'ME0025 WK5'!A:A,'ME0025 WK5'!J:J),"")</f>
        <v/>
      </c>
      <c r="D4" s="120" t="str">
        <f t="shared" si="1"/>
        <v/>
      </c>
      <c r="E4" s="116" t="str">
        <f>IFERROR(_xlfn.XLOOKUP(A4,'ME0025 WK5'!A:A,'ME0025 WK5'!F:F),"")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Employee #4</v>
      </c>
      <c r="B5" s="115" t="str">
        <f>IFERROR(_xlfn.XLOOKUP(A5,'QA WK5'!A:A,'QA WK5'!I:I),"")</f>
        <v/>
      </c>
      <c r="C5" s="94" t="str">
        <f>IFERROR(_xlfn.XLOOKUP(A5,'ME0025 WK5'!A:A,'ME0025 WK5'!J:J),"")</f>
        <v/>
      </c>
      <c r="D5" s="120" t="str">
        <f t="shared" si="1"/>
        <v/>
      </c>
      <c r="E5" s="116" t="str">
        <f>IFERROR(_xlfn.XLOOKUP(A5,'ME0025 WK5'!A:A,'ME0025 WK5'!F:F),"")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Employee #5</v>
      </c>
      <c r="B6" s="115" t="str">
        <f>IFERROR(_xlfn.XLOOKUP(A6,'QA WK5'!A:A,'QA WK5'!I:I),"")</f>
        <v/>
      </c>
      <c r="C6" s="94" t="str">
        <f>IFERROR(_xlfn.XLOOKUP(A6,'ME0025 WK5'!A:A,'ME0025 WK5'!J:J),"")</f>
        <v/>
      </c>
      <c r="D6" s="120" t="str">
        <f t="shared" si="1"/>
        <v/>
      </c>
      <c r="E6" s="116" t="str">
        <f>IFERROR(_xlfn.XLOOKUP(A6,'ME0025 WK5'!A:A,'ME0025 WK5'!F:F),"")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Employee #6</v>
      </c>
      <c r="B7" s="115" t="str">
        <f>IFERROR(_xlfn.XLOOKUP(A7,'QA WK5'!A:A,'QA WK5'!I:I),"")</f>
        <v/>
      </c>
      <c r="C7" s="94" t="str">
        <f>IFERROR(_xlfn.XLOOKUP(A7,'ME0025 WK5'!A:A,'ME0025 WK5'!J:J),"")</f>
        <v/>
      </c>
      <c r="D7" s="120" t="str">
        <f t="shared" si="1"/>
        <v/>
      </c>
      <c r="E7" s="116" t="str">
        <f>IFERROR(_xlfn.XLOOKUP(A7,'ME0025 WK5'!A:A,'ME0025 WK5'!F:F),"")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Employee #7</v>
      </c>
      <c r="B8" s="115" t="str">
        <f>IFERROR(_xlfn.XLOOKUP(A8,'QA WK5'!A:A,'QA WK5'!I:I),"")</f>
        <v/>
      </c>
      <c r="C8" s="94" t="str">
        <f>IFERROR(_xlfn.XLOOKUP(A8,'ME0025 WK5'!A:A,'ME0025 WK5'!J:J),"")</f>
        <v/>
      </c>
      <c r="D8" s="120" t="str">
        <f t="shared" si="1"/>
        <v/>
      </c>
      <c r="E8" s="116" t="str">
        <f>IFERROR(_xlfn.XLOOKUP(A8,'ME0025 WK5'!A:A,'ME0025 WK5'!F:F),"")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Employee #8</v>
      </c>
      <c r="B9" s="115" t="str">
        <f>IFERROR(_xlfn.XLOOKUP(A9,'QA WK5'!A:A,'QA WK5'!I:I),"")</f>
        <v/>
      </c>
      <c r="C9" s="94" t="str">
        <f>IFERROR(_xlfn.XLOOKUP(A9,'ME0025 WK5'!A:A,'ME0025 WK5'!J:J),"")</f>
        <v/>
      </c>
      <c r="D9" s="120" t="str">
        <f t="shared" si="1"/>
        <v/>
      </c>
      <c r="E9" s="116" t="str">
        <f>IFERROR(_xlfn.XLOOKUP(A9,'ME0025 WK5'!A:A,'ME0025 WK5'!F:F),"")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Employee #9</v>
      </c>
      <c r="B10" s="115" t="str">
        <f>IFERROR(_xlfn.XLOOKUP(A10,'QA WK5'!A:A,'QA WK5'!I:I),"")</f>
        <v/>
      </c>
      <c r="C10" s="94" t="str">
        <f>IFERROR(_xlfn.XLOOKUP(A10,'ME0025 WK5'!A:A,'ME0025 WK5'!J:J),"")</f>
        <v/>
      </c>
      <c r="D10" s="120" t="str">
        <f t="shared" si="1"/>
        <v/>
      </c>
      <c r="E10" s="116" t="str">
        <f>IFERROR(_xlfn.XLOOKUP(A10,'ME0025 WK5'!A:A,'ME0025 WK5'!F:F),"")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Employee #10</v>
      </c>
      <c r="B11" s="115" t="str">
        <f>IFERROR(_xlfn.XLOOKUP(A11,'QA WK5'!A:A,'QA WK5'!I:I),"")</f>
        <v/>
      </c>
      <c r="C11" s="94" t="str">
        <f>IFERROR(_xlfn.XLOOKUP(A11,'ME0025 WK5'!A:A,'ME0025 WK5'!J:J),"")</f>
        <v/>
      </c>
      <c r="D11" s="120" t="str">
        <f t="shared" si="1"/>
        <v/>
      </c>
      <c r="E11" s="116" t="str">
        <f>IFERROR(_xlfn.XLOOKUP(A11,'ME0025 WK5'!A:A,'ME0025 WK5'!F:F),"")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Employee #11</v>
      </c>
      <c r="B12" s="115" t="str">
        <f>IFERROR(_xlfn.XLOOKUP(A12,'QA WK5'!A:A,'QA WK5'!I:I),"")</f>
        <v/>
      </c>
      <c r="C12" s="94" t="str">
        <f>IFERROR(_xlfn.XLOOKUP(A12,'ME0025 WK5'!A:A,'ME0025 WK5'!J:J),"")</f>
        <v/>
      </c>
      <c r="D12" s="120" t="str">
        <f t="shared" si="1"/>
        <v/>
      </c>
      <c r="E12" s="116" t="str">
        <f>IFERROR(_xlfn.XLOOKUP(A12,'ME0025 WK5'!A:A,'ME0025 WK5'!F:F),"")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Employee #12</v>
      </c>
      <c r="B13" s="115" t="str">
        <f>IFERROR(_xlfn.XLOOKUP(A13,'QA WK5'!A:A,'QA WK5'!I:I),"")</f>
        <v/>
      </c>
      <c r="C13" s="94" t="str">
        <f>IFERROR(_xlfn.XLOOKUP(A13,'ME0025 WK5'!A:A,'ME0025 WK5'!J:J),"")</f>
        <v/>
      </c>
      <c r="D13" s="120" t="str">
        <f t="shared" si="1"/>
        <v/>
      </c>
      <c r="E13" s="116" t="str">
        <f>IFERROR(_xlfn.XLOOKUP(A13,'ME0025 WK5'!A:A,'ME0025 WK5'!F:F),"")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Employee #13</v>
      </c>
      <c r="B14" s="115" t="str">
        <f>IFERROR(_xlfn.XLOOKUP(A14,'QA WK5'!A:A,'QA WK5'!I:I),"")</f>
        <v/>
      </c>
      <c r="C14" s="94" t="str">
        <f>IFERROR(_xlfn.XLOOKUP(A14,'ME0025 WK5'!A:A,'ME0025 WK5'!J:J),"")</f>
        <v/>
      </c>
      <c r="D14" s="120" t="str">
        <f t="shared" si="1"/>
        <v/>
      </c>
      <c r="E14" s="116" t="str">
        <f>IFERROR(_xlfn.XLOOKUP(A14,'ME0025 WK5'!A:A,'ME0025 WK5'!F:F),"")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Employee #14</v>
      </c>
      <c r="B15" s="115" t="str">
        <f>IFERROR(_xlfn.XLOOKUP(A15,'QA WK5'!A:A,'QA WK5'!I:I),"")</f>
        <v/>
      </c>
      <c r="C15" s="94" t="str">
        <f>IFERROR(_xlfn.XLOOKUP(A15,'ME0025 WK5'!A:A,'ME0025 WK5'!J:J),"")</f>
        <v/>
      </c>
      <c r="D15" s="120" t="str">
        <f t="shared" si="1"/>
        <v/>
      </c>
      <c r="E15" s="116" t="str">
        <f>IFERROR(_xlfn.XLOOKUP(A15,'ME0025 WK5'!A:A,'ME0025 WK5'!F:F),"")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WK5'!A:A,'QA WK5'!I:I),"")</f>
        <v/>
      </c>
      <c r="C16" s="94" t="str">
        <f>IFERROR(_xlfn.XLOOKUP(A16,'ME0025 WK5'!A:A,'ME0025 WK5'!J:J),"")</f>
        <v/>
      </c>
      <c r="D16" s="120" t="str">
        <f t="shared" si="1"/>
        <v/>
      </c>
      <c r="E16" s="116" t="str">
        <f>IFERROR(_xlfn.XLOOKUP(A16,'ME0025 WK5'!A:A,'ME0025 WK5'!F:F),"")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WK5'!A:A,'QA WK5'!I:I),"")</f>
        <v/>
      </c>
      <c r="C17" s="94" t="str">
        <f>IFERROR(_xlfn.XLOOKUP(A17,'ME0025 WK5'!A:A,'ME0025 WK5'!J:J),"")</f>
        <v/>
      </c>
      <c r="D17" s="120" t="str">
        <f t="shared" si="1"/>
        <v/>
      </c>
      <c r="E17" s="116" t="str">
        <f>IFERROR(_xlfn.XLOOKUP(A17,'ME0025 WK5'!A:A,'ME0025 WK5'!F:F),"")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WK5'!A:A,'QA WK5'!I:I),"")</f>
        <v/>
      </c>
      <c r="C18" s="94" t="str">
        <f>IFERROR(_xlfn.XLOOKUP(A18,'ME0025 WK5'!A:A,'ME0025 WK5'!J:J),"")</f>
        <v/>
      </c>
      <c r="D18" s="120" t="str">
        <f t="shared" si="1"/>
        <v/>
      </c>
      <c r="E18" s="116" t="str">
        <f>IFERROR(_xlfn.XLOOKUP(A18,'ME0025 WK5'!A:A,'ME0025 WK5'!F:F),"")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WK5'!A:A,'QA WK5'!I:I),"")</f>
        <v/>
      </c>
      <c r="C19" s="94" t="str">
        <f>IFERROR(_xlfn.XLOOKUP(A19,'ME0025 WK5'!A:A,'ME0025 WK5'!J:J),"")</f>
        <v/>
      </c>
      <c r="D19" s="120" t="str">
        <f t="shared" si="1"/>
        <v/>
      </c>
      <c r="E19" s="116" t="str">
        <f>IFERROR(_xlfn.XLOOKUP(A19,'ME0025 WK5'!A:A,'ME0025 WK5'!F:F),"")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WK5'!A:A,'QA WK5'!I:I),"")</f>
        <v/>
      </c>
      <c r="C20" s="94" t="str">
        <f>IFERROR(_xlfn.XLOOKUP(A20,'ME0025 WK5'!A:A,'ME0025 WK5'!J:J),"")</f>
        <v/>
      </c>
      <c r="D20" s="120" t="str">
        <f t="shared" si="1"/>
        <v/>
      </c>
      <c r="E20" s="116" t="str">
        <f>IFERROR(_xlfn.XLOOKUP(A20,'ME0025 WK5'!A:A,'ME0025 WK5'!F:F),"")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WK5'!A:A,'QA WK5'!I:I),"")</f>
        <v/>
      </c>
      <c r="C21" s="94" t="str">
        <f>IFERROR(_xlfn.XLOOKUP(A21,'ME0025 WK5'!A:A,'ME0025 WK5'!J:J),"")</f>
        <v/>
      </c>
      <c r="D21" s="120" t="str">
        <f t="shared" si="1"/>
        <v/>
      </c>
      <c r="E21" s="116" t="str">
        <f>IFERROR(_xlfn.XLOOKUP(A21,'ME0025 WK5'!A:A,'ME0025 WK5'!F:F),"")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WK5'!A:A,'QA WK5'!I:I),"")</f>
        <v/>
      </c>
      <c r="C22" s="94" t="str">
        <f>IFERROR(_xlfn.XLOOKUP(A22,'ME0025 WK5'!A:A,'ME0025 WK5'!J:J),"")</f>
        <v/>
      </c>
      <c r="D22" s="120" t="str">
        <f t="shared" si="1"/>
        <v/>
      </c>
      <c r="E22" s="116" t="str">
        <f>IFERROR(_xlfn.XLOOKUP(A22,'ME0025 WK5'!A:A,'ME0025 WK5'!F:F),"")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2" t="s">
        <v>45</v>
      </c>
      <c r="B23" s="203"/>
      <c r="C23" s="121">
        <v>3.25</v>
      </c>
      <c r="D23" s="200" t="s">
        <v>21</v>
      </c>
      <c r="E23" s="201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GOQqa6xUbFpsO7fDfK5+ftPcNSD1/PzQD1aVHUipB3sSyMbEINXWAhU8+yY8W5iVyn95Wyc/ho6zHFwt/AW6Mg==" saltValue="ZjDtsI0Q3/rh0EsdCJJ6Zg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FE160-1B12-4126-A7EA-8E29C49541E2}">
  <sheetPr codeName="Sheet12">
    <tabColor rgb="FF00B050"/>
  </sheetPr>
  <dimension ref="A1:I30"/>
  <sheetViews>
    <sheetView workbookViewId="0">
      <selection activeCell="C10" sqref="C10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51</v>
      </c>
      <c r="C1" s="111" t="s">
        <v>52</v>
      </c>
      <c r="D1" s="111" t="s">
        <v>53</v>
      </c>
      <c r="E1" s="157" t="s">
        <v>54</v>
      </c>
      <c r="F1" s="158" t="s">
        <v>55</v>
      </c>
      <c r="G1" s="158" t="s">
        <v>56</v>
      </c>
      <c r="H1" s="158" t="s">
        <v>57</v>
      </c>
      <c r="I1" s="158" t="s">
        <v>58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8" r:id="rId4" name="Button 2">
              <controlPr defaultSize="0" print="0" autoFill="0" autoPict="0" macro="[0]!ClearQA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23B51-01A2-4F04-AAEE-F2519662E874}">
  <sheetPr codeName="Sheet44">
    <tabColor rgb="FF00B050"/>
  </sheetPr>
  <dimension ref="A1:AB381"/>
  <sheetViews>
    <sheetView workbookViewId="0">
      <selection activeCell="B12" sqref="B12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6" width="9.08984375" style="1"/>
    <col min="7" max="7" width="26.08984375" style="1" bestFit="1" customWidth="1"/>
    <col min="8" max="27" width="9.08984375" style="1"/>
    <col min="28" max="28" width="24.453125" style="1" bestFit="1" customWidth="1"/>
    <col min="29" max="16384" width="9.08984375" style="1"/>
  </cols>
  <sheetData>
    <row r="1" spans="1:28" s="162" customFormat="1" x14ac:dyDescent="0.35">
      <c r="A1" s="159" t="s">
        <v>1</v>
      </c>
      <c r="B1" s="159" t="s">
        <v>2</v>
      </c>
      <c r="C1" s="159" t="s">
        <v>3</v>
      </c>
      <c r="D1" s="159" t="s">
        <v>10</v>
      </c>
      <c r="E1" s="159" t="s">
        <v>4</v>
      </c>
      <c r="F1" s="159" t="s">
        <v>5</v>
      </c>
      <c r="G1" s="159" t="s">
        <v>6</v>
      </c>
      <c r="H1" s="159" t="s">
        <v>59</v>
      </c>
      <c r="I1" s="160" t="s">
        <v>7</v>
      </c>
      <c r="J1" s="161" t="s">
        <v>60</v>
      </c>
      <c r="K1" s="160" t="s">
        <v>8</v>
      </c>
      <c r="L1" s="159" t="s">
        <v>9</v>
      </c>
      <c r="M1" s="159" t="s">
        <v>61</v>
      </c>
      <c r="N1" s="159" t="s">
        <v>62</v>
      </c>
      <c r="O1" s="159"/>
      <c r="P1" s="159"/>
      <c r="Q1" s="159"/>
      <c r="R1" s="159"/>
      <c r="S1" s="159"/>
      <c r="T1" s="161"/>
      <c r="U1" s="161"/>
      <c r="V1" s="159"/>
      <c r="W1" s="159"/>
      <c r="X1" s="159"/>
      <c r="Y1" s="159"/>
      <c r="Z1" s="159"/>
      <c r="AA1" s="159"/>
      <c r="AB1" s="159"/>
    </row>
    <row r="2" spans="1:28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  <c r="O2" s="25"/>
      <c r="P2" s="25"/>
      <c r="Q2" s="26"/>
      <c r="R2" s="25"/>
      <c r="S2" s="27"/>
      <c r="T2" s="28"/>
      <c r="U2" s="24"/>
      <c r="V2" s="24"/>
      <c r="W2" s="24"/>
      <c r="X2" s="24"/>
      <c r="Y2" s="24"/>
      <c r="Z2" s="24"/>
      <c r="AA2" s="24"/>
      <c r="AB2" s="29"/>
    </row>
    <row r="3" spans="1:28" ht="15" thickBot="1" x14ac:dyDescent="0.4">
      <c r="A3" s="33"/>
      <c r="B3" s="30"/>
      <c r="C3" s="10"/>
      <c r="D3" s="10"/>
      <c r="E3" s="5"/>
      <c r="F3" s="10"/>
      <c r="G3" s="5"/>
      <c r="H3" s="10"/>
      <c r="I3" s="5"/>
      <c r="J3" s="10"/>
      <c r="K3" s="10"/>
      <c r="L3" s="10"/>
      <c r="M3" s="10"/>
      <c r="N3" s="10"/>
      <c r="O3" s="6"/>
      <c r="P3" s="6"/>
      <c r="Q3" s="7"/>
      <c r="R3" s="6"/>
      <c r="S3" s="8"/>
      <c r="T3" s="9"/>
      <c r="U3" s="5"/>
      <c r="V3" s="5"/>
      <c r="W3" s="5"/>
      <c r="X3" s="5"/>
      <c r="Y3" s="5"/>
      <c r="Z3" s="5"/>
      <c r="AA3" s="5"/>
      <c r="AB3" s="11"/>
    </row>
    <row r="4" spans="1:28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  <c r="O4" s="15"/>
      <c r="P4" s="15"/>
      <c r="Q4" s="16"/>
      <c r="R4" s="15"/>
      <c r="S4" s="17"/>
      <c r="T4" s="18"/>
      <c r="U4" s="14"/>
      <c r="V4" s="14"/>
      <c r="W4" s="14"/>
      <c r="X4" s="14"/>
      <c r="Y4" s="14"/>
      <c r="Z4" s="14"/>
      <c r="AA4" s="14"/>
      <c r="AB4" s="19"/>
    </row>
    <row r="5" spans="1:28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  <c r="O5" s="15"/>
      <c r="P5" s="15"/>
      <c r="Q5" s="16"/>
      <c r="R5" s="15"/>
      <c r="S5" s="17"/>
      <c r="T5" s="18"/>
      <c r="U5" s="14"/>
      <c r="V5" s="14"/>
      <c r="W5" s="14"/>
      <c r="X5" s="14"/>
      <c r="Y5" s="14"/>
      <c r="Z5" s="14"/>
      <c r="AA5" s="14"/>
      <c r="AB5" s="19"/>
    </row>
    <row r="6" spans="1:28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  <c r="O6" s="15"/>
      <c r="P6" s="15"/>
      <c r="Q6" s="16"/>
      <c r="R6" s="15"/>
      <c r="S6" s="17"/>
      <c r="T6" s="18"/>
      <c r="U6" s="14"/>
      <c r="V6" s="14"/>
      <c r="W6" s="14"/>
      <c r="X6" s="14"/>
      <c r="Y6" s="14"/>
      <c r="Z6" s="14"/>
      <c r="AA6" s="14"/>
      <c r="AB6" s="19"/>
    </row>
    <row r="7" spans="1:28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  <c r="O7" s="15"/>
      <c r="P7" s="15"/>
      <c r="Q7" s="16"/>
      <c r="R7" s="15"/>
      <c r="S7" s="17"/>
      <c r="T7" s="18"/>
      <c r="U7" s="14"/>
      <c r="V7" s="14"/>
      <c r="W7" s="14"/>
      <c r="X7" s="14"/>
      <c r="Y7" s="14"/>
      <c r="Z7" s="14"/>
      <c r="AA7" s="14"/>
      <c r="AB7" s="19"/>
    </row>
    <row r="8" spans="1:28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  <c r="O8" s="15"/>
      <c r="P8" s="15"/>
      <c r="Q8" s="16"/>
      <c r="R8" s="15"/>
      <c r="S8" s="17"/>
      <c r="T8" s="18"/>
      <c r="U8" s="14"/>
      <c r="V8" s="14"/>
      <c r="W8" s="14"/>
      <c r="X8" s="14"/>
      <c r="Y8" s="14"/>
      <c r="Z8" s="14"/>
      <c r="AA8" s="14"/>
      <c r="AB8" s="19"/>
    </row>
    <row r="9" spans="1:28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  <c r="O9" s="15"/>
      <c r="P9" s="15"/>
      <c r="Q9" s="16"/>
      <c r="R9" s="15"/>
      <c r="S9" s="17"/>
      <c r="T9" s="18"/>
      <c r="U9" s="14"/>
      <c r="V9" s="14"/>
      <c r="W9" s="14"/>
      <c r="X9" s="14"/>
      <c r="Y9" s="14"/>
      <c r="Z9" s="14"/>
      <c r="AA9" s="14"/>
      <c r="AB9" s="19"/>
    </row>
    <row r="10" spans="1:28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  <c r="O10" s="15"/>
      <c r="P10" s="15"/>
      <c r="Q10" s="16"/>
      <c r="R10" s="15"/>
      <c r="S10" s="17"/>
      <c r="T10" s="18"/>
      <c r="U10" s="14"/>
      <c r="V10" s="14"/>
      <c r="W10" s="14"/>
      <c r="X10" s="14"/>
      <c r="Y10" s="14"/>
      <c r="Z10" s="14"/>
      <c r="AA10" s="14"/>
      <c r="AB10" s="19"/>
    </row>
    <row r="11" spans="1:28" x14ac:dyDescent="0.35">
      <c r="A11" s="4"/>
      <c r="B11" s="12"/>
      <c r="C11" s="13"/>
      <c r="D11" s="13"/>
      <c r="E11" s="14"/>
      <c r="F11" s="20"/>
      <c r="G11" s="14"/>
      <c r="H11" s="13"/>
      <c r="I11" s="14"/>
      <c r="J11" s="13"/>
      <c r="K11" s="13"/>
      <c r="L11" s="13"/>
      <c r="M11" s="13"/>
      <c r="N11" s="13"/>
      <c r="O11" s="15"/>
      <c r="P11" s="15"/>
      <c r="Q11" s="16"/>
      <c r="R11" s="15"/>
      <c r="S11" s="17"/>
      <c r="T11" s="18"/>
      <c r="U11" s="14"/>
      <c r="V11" s="14"/>
      <c r="W11" s="14"/>
      <c r="X11" s="14"/>
      <c r="Y11" s="14"/>
      <c r="Z11" s="14"/>
      <c r="AA11" s="14"/>
      <c r="AB11" s="19"/>
    </row>
    <row r="12" spans="1:28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  <c r="O12" s="15"/>
      <c r="P12" s="15"/>
      <c r="Q12" s="16"/>
      <c r="R12" s="15"/>
      <c r="S12" s="17"/>
      <c r="T12" s="18"/>
      <c r="U12" s="14"/>
      <c r="V12" s="14"/>
      <c r="W12" s="14"/>
      <c r="X12" s="14"/>
      <c r="Y12" s="14"/>
      <c r="Z12" s="14"/>
      <c r="AA12" s="14"/>
      <c r="AB12" s="19"/>
    </row>
    <row r="13" spans="1:28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  <c r="O13" s="15"/>
      <c r="P13" s="15"/>
      <c r="Q13" s="16"/>
      <c r="R13" s="15"/>
      <c r="S13" s="17"/>
      <c r="T13" s="18"/>
      <c r="U13" s="14"/>
      <c r="V13" s="14"/>
      <c r="W13" s="14"/>
      <c r="X13" s="14"/>
      <c r="Y13" s="14"/>
      <c r="Z13" s="14"/>
      <c r="AA13" s="14"/>
      <c r="AB13" s="19"/>
    </row>
    <row r="14" spans="1:28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  <c r="O14" s="15"/>
      <c r="P14" s="15"/>
      <c r="Q14" s="16"/>
      <c r="R14" s="15"/>
      <c r="S14" s="17"/>
      <c r="T14" s="18"/>
      <c r="U14" s="14"/>
      <c r="V14" s="14"/>
      <c r="W14" s="14"/>
      <c r="X14" s="14"/>
      <c r="Y14" s="14"/>
      <c r="Z14" s="14"/>
      <c r="AA14" s="14"/>
      <c r="AB14" s="19"/>
    </row>
    <row r="15" spans="1:28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  <c r="O15" s="15"/>
      <c r="P15" s="15"/>
      <c r="Q15" s="16"/>
      <c r="R15" s="15"/>
      <c r="S15" s="17"/>
      <c r="T15" s="18"/>
      <c r="U15" s="14"/>
      <c r="V15" s="14"/>
      <c r="W15" s="14"/>
      <c r="X15" s="14"/>
      <c r="Y15" s="14"/>
      <c r="Z15" s="14"/>
      <c r="AA15" s="14"/>
      <c r="AB15" s="19"/>
    </row>
    <row r="16" spans="1:28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  <c r="O16" s="15"/>
      <c r="P16" s="15"/>
      <c r="Q16" s="16"/>
      <c r="R16" s="15"/>
      <c r="S16" s="17"/>
      <c r="T16" s="18"/>
      <c r="U16" s="14"/>
      <c r="V16" s="14"/>
      <c r="W16" s="14"/>
      <c r="X16" s="14"/>
      <c r="Y16" s="14"/>
      <c r="Z16" s="14"/>
      <c r="AA16" s="14"/>
      <c r="AB16" s="19"/>
    </row>
    <row r="17" spans="1:28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  <c r="O17" s="15"/>
      <c r="P17" s="15"/>
      <c r="Q17" s="16"/>
      <c r="R17" s="15"/>
      <c r="S17" s="17"/>
      <c r="T17" s="18"/>
      <c r="U17" s="14"/>
      <c r="V17" s="14"/>
      <c r="W17" s="14"/>
      <c r="X17" s="14"/>
      <c r="Y17" s="14"/>
      <c r="Z17" s="14"/>
      <c r="AA17" s="14"/>
      <c r="AB17" s="19"/>
    </row>
    <row r="18" spans="1:28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  <c r="O18" s="15"/>
      <c r="P18" s="15"/>
      <c r="Q18" s="16"/>
      <c r="R18" s="15"/>
      <c r="S18" s="17"/>
      <c r="T18" s="18"/>
      <c r="U18" s="14"/>
      <c r="V18" s="14"/>
      <c r="W18" s="14"/>
      <c r="X18" s="14"/>
      <c r="Y18" s="14"/>
      <c r="Z18" s="14"/>
      <c r="AA18" s="14"/>
      <c r="AB18" s="19"/>
    </row>
    <row r="19" spans="1:28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  <c r="O19" s="15"/>
      <c r="P19" s="15"/>
      <c r="Q19" s="16"/>
      <c r="R19" s="15"/>
      <c r="S19" s="17"/>
      <c r="T19" s="18"/>
      <c r="U19" s="14"/>
      <c r="V19" s="14"/>
      <c r="W19" s="14"/>
      <c r="X19" s="14"/>
      <c r="Y19" s="14"/>
      <c r="Z19" s="14"/>
      <c r="AA19" s="14"/>
      <c r="AB19" s="19"/>
    </row>
    <row r="20" spans="1:28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  <c r="O20" s="15"/>
      <c r="P20" s="15"/>
      <c r="Q20" s="16"/>
      <c r="R20" s="15"/>
      <c r="S20" s="17"/>
      <c r="T20" s="18"/>
      <c r="U20" s="14"/>
      <c r="V20" s="14"/>
      <c r="W20" s="14"/>
      <c r="X20" s="14"/>
      <c r="Y20" s="14"/>
      <c r="Z20" s="14"/>
      <c r="AA20" s="14"/>
      <c r="AB20" s="19"/>
    </row>
    <row r="21" spans="1:28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  <c r="O21" s="15"/>
      <c r="P21" s="15"/>
      <c r="Q21" s="16"/>
      <c r="R21" s="15"/>
      <c r="S21" s="17"/>
      <c r="T21" s="18"/>
      <c r="U21" s="14"/>
      <c r="V21" s="14"/>
      <c r="W21" s="14"/>
      <c r="X21" s="14"/>
      <c r="Y21" s="14"/>
      <c r="Z21" s="14"/>
      <c r="AA21" s="14"/>
      <c r="AB21" s="19"/>
    </row>
    <row r="22" spans="1:28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  <c r="O22" s="15"/>
      <c r="P22" s="15"/>
      <c r="Q22" s="16"/>
      <c r="R22" s="15"/>
      <c r="S22" s="17"/>
      <c r="T22" s="18"/>
      <c r="U22" s="14"/>
      <c r="V22" s="14"/>
      <c r="W22" s="14"/>
      <c r="X22" s="14"/>
      <c r="Y22" s="14"/>
      <c r="Z22" s="14"/>
      <c r="AA22" s="14"/>
      <c r="AB22" s="19"/>
    </row>
    <row r="23" spans="1:28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  <c r="O23" s="20"/>
      <c r="P23" s="20"/>
      <c r="Q23" s="20"/>
      <c r="R23" s="20"/>
      <c r="S23" s="20"/>
      <c r="T23" s="20"/>
      <c r="U23" s="3"/>
      <c r="V23" s="3"/>
      <c r="W23" s="3"/>
      <c r="X23" s="3"/>
      <c r="Y23" s="3"/>
      <c r="Z23" s="3"/>
      <c r="AA23" s="3"/>
      <c r="AB23" s="19"/>
    </row>
    <row r="24" spans="1:28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  <c r="O24" s="20"/>
      <c r="P24" s="20"/>
      <c r="Q24" s="20"/>
      <c r="R24" s="20"/>
      <c r="S24" s="20"/>
      <c r="T24" s="20"/>
      <c r="U24" s="3"/>
      <c r="V24" s="3"/>
      <c r="W24" s="3"/>
      <c r="X24" s="3"/>
      <c r="Y24" s="3"/>
      <c r="Z24" s="3"/>
      <c r="AA24" s="3"/>
      <c r="AB24" s="19"/>
    </row>
    <row r="25" spans="1:28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  <c r="O25" s="20"/>
      <c r="P25" s="20"/>
      <c r="Q25" s="20"/>
      <c r="R25" s="20"/>
      <c r="S25" s="20"/>
      <c r="T25" s="20"/>
      <c r="U25" s="3"/>
      <c r="V25" s="3"/>
      <c r="W25" s="3"/>
      <c r="X25" s="3"/>
      <c r="Y25" s="3"/>
      <c r="Z25" s="3"/>
      <c r="AA25" s="3"/>
      <c r="AB25" s="19"/>
    </row>
    <row r="26" spans="1:28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  <c r="O26" s="20"/>
      <c r="P26" s="20"/>
      <c r="Q26" s="20"/>
      <c r="R26" s="20"/>
      <c r="S26" s="20"/>
      <c r="T26" s="20"/>
      <c r="U26" s="3"/>
      <c r="V26" s="3"/>
      <c r="W26" s="3"/>
      <c r="X26" s="3"/>
      <c r="Y26" s="3"/>
      <c r="Z26" s="3"/>
      <c r="AA26" s="3"/>
      <c r="AB26" s="19"/>
    </row>
    <row r="27" spans="1:28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  <c r="O27" s="20"/>
      <c r="P27" s="20"/>
      <c r="Q27" s="20"/>
      <c r="R27" s="20"/>
      <c r="S27" s="20"/>
      <c r="T27" s="20"/>
      <c r="U27" s="3"/>
      <c r="V27" s="3"/>
      <c r="W27" s="3"/>
      <c r="X27" s="3"/>
      <c r="Y27" s="3"/>
      <c r="Z27" s="3"/>
      <c r="AA27" s="3"/>
      <c r="AB27" s="36"/>
    </row>
    <row r="28" spans="1:28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  <c r="O28" s="20"/>
      <c r="P28" s="20"/>
      <c r="Q28" s="20"/>
      <c r="R28" s="20"/>
      <c r="S28" s="20"/>
      <c r="T28" s="20"/>
      <c r="U28" s="3"/>
      <c r="V28" s="3"/>
      <c r="W28" s="3"/>
      <c r="X28" s="3"/>
      <c r="Y28" s="3"/>
      <c r="Z28" s="3"/>
      <c r="AA28" s="3"/>
      <c r="AB28" s="36"/>
    </row>
    <row r="29" spans="1:28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  <c r="O29" s="20"/>
      <c r="P29" s="20"/>
      <c r="Q29" s="20"/>
      <c r="R29" s="20"/>
      <c r="S29" s="20"/>
      <c r="T29" s="20"/>
      <c r="U29" s="3"/>
      <c r="V29" s="3"/>
      <c r="W29" s="3"/>
      <c r="X29" s="3"/>
      <c r="Y29" s="3"/>
      <c r="Z29" s="3"/>
      <c r="AA29" s="3"/>
      <c r="AB29" s="19"/>
    </row>
    <row r="30" spans="1:28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  <c r="O30" s="20"/>
      <c r="P30" s="20"/>
      <c r="Q30" s="20"/>
      <c r="R30" s="20"/>
      <c r="S30" s="20"/>
      <c r="T30" s="20"/>
      <c r="U30" s="3"/>
      <c r="V30" s="3"/>
      <c r="W30" s="3"/>
      <c r="X30" s="3"/>
      <c r="Y30" s="3"/>
      <c r="Z30" s="3"/>
      <c r="AA30" s="3"/>
      <c r="AB30" s="19"/>
    </row>
    <row r="31" spans="1:28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  <c r="O31" s="20"/>
      <c r="P31" s="20"/>
      <c r="Q31" s="20"/>
      <c r="R31" s="20"/>
      <c r="S31" s="20"/>
      <c r="T31" s="20"/>
      <c r="U31" s="3"/>
      <c r="V31" s="3"/>
      <c r="W31" s="3"/>
      <c r="X31" s="3"/>
      <c r="Y31" s="3"/>
      <c r="Z31" s="3"/>
      <c r="AA31" s="3"/>
      <c r="AB31" s="19"/>
    </row>
    <row r="32" spans="1:28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  <c r="O32" s="20"/>
      <c r="P32" s="20"/>
      <c r="Q32" s="20"/>
      <c r="R32" s="20"/>
      <c r="S32" s="20"/>
      <c r="T32" s="20"/>
      <c r="U32" s="3"/>
      <c r="V32" s="3"/>
      <c r="W32" s="3"/>
      <c r="X32" s="3"/>
      <c r="Y32" s="3"/>
      <c r="Z32" s="3"/>
      <c r="AA32" s="3"/>
      <c r="AB32" s="19"/>
    </row>
    <row r="33" spans="1:28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  <c r="O33" s="20"/>
      <c r="P33" s="20"/>
      <c r="Q33" s="20"/>
      <c r="R33" s="20"/>
      <c r="S33" s="20"/>
      <c r="T33" s="20"/>
      <c r="U33" s="3"/>
      <c r="V33" s="3"/>
      <c r="W33" s="3"/>
      <c r="X33" s="3"/>
      <c r="Y33" s="3"/>
      <c r="Z33" s="3"/>
      <c r="AA33" s="3"/>
      <c r="AB33" s="19"/>
    </row>
    <row r="34" spans="1:28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  <c r="O34" s="20"/>
      <c r="P34" s="20"/>
      <c r="Q34" s="20"/>
      <c r="R34" s="20"/>
      <c r="S34" s="20"/>
      <c r="T34" s="20"/>
      <c r="U34" s="3"/>
      <c r="V34" s="3"/>
      <c r="W34" s="3"/>
      <c r="X34" s="3"/>
      <c r="Y34" s="3"/>
      <c r="Z34" s="3"/>
      <c r="AA34" s="3"/>
      <c r="AB34" s="36"/>
    </row>
    <row r="35" spans="1:28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  <c r="O35" s="20"/>
      <c r="P35" s="20"/>
      <c r="Q35" s="20"/>
      <c r="R35" s="20"/>
      <c r="S35" s="20"/>
      <c r="T35" s="20"/>
      <c r="U35" s="3"/>
      <c r="V35" s="3"/>
      <c r="W35" s="3"/>
      <c r="X35" s="3"/>
      <c r="Y35" s="3"/>
      <c r="Z35" s="3"/>
      <c r="AA35" s="3"/>
      <c r="AB35" s="36"/>
    </row>
    <row r="36" spans="1:28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  <c r="O36" s="20"/>
      <c r="P36" s="20"/>
      <c r="Q36" s="20"/>
      <c r="R36" s="20"/>
      <c r="S36" s="20"/>
      <c r="T36" s="20"/>
      <c r="U36" s="3"/>
      <c r="V36" s="3"/>
      <c r="W36" s="3"/>
      <c r="X36" s="3"/>
      <c r="Y36" s="3"/>
      <c r="Z36" s="3"/>
      <c r="AA36" s="3"/>
      <c r="AB36" s="36"/>
    </row>
    <row r="37" spans="1:28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  <c r="O37" s="22"/>
      <c r="P37" s="22"/>
      <c r="Q37" s="22"/>
      <c r="R37" s="22"/>
      <c r="S37" s="22"/>
      <c r="T37" s="22"/>
      <c r="U37" s="38"/>
      <c r="V37" s="38"/>
      <c r="W37" s="38"/>
      <c r="X37" s="38"/>
      <c r="Y37" s="38"/>
      <c r="Z37" s="38"/>
      <c r="AA37" s="38"/>
      <c r="AB37" s="39"/>
    </row>
    <row r="38" spans="1:28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  <c r="U38" s="2"/>
      <c r="V38" s="2"/>
      <c r="W38" s="2"/>
      <c r="X38" s="2"/>
      <c r="Y38" s="2"/>
      <c r="Z38" s="2"/>
      <c r="AA38" s="2"/>
      <c r="AB38" s="40"/>
    </row>
    <row r="39" spans="1:28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  <c r="U39" s="2"/>
      <c r="V39" s="2"/>
      <c r="W39" s="2"/>
      <c r="X39" s="2"/>
      <c r="Y39" s="2"/>
      <c r="Z39" s="2"/>
      <c r="AA39" s="2"/>
      <c r="AB39" s="41"/>
    </row>
    <row r="40" spans="1:28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  <c r="U40" s="2"/>
      <c r="V40" s="2"/>
      <c r="W40" s="2"/>
      <c r="X40" s="2"/>
      <c r="Y40" s="2"/>
      <c r="Z40" s="2"/>
      <c r="AA40" s="2"/>
      <c r="AB40" s="40"/>
    </row>
    <row r="41" spans="1:28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  <c r="U41" s="2"/>
      <c r="V41" s="2"/>
      <c r="W41" s="2"/>
      <c r="X41" s="2"/>
      <c r="Y41" s="2"/>
      <c r="Z41" s="2"/>
      <c r="AA41" s="2"/>
      <c r="AB41" s="41"/>
    </row>
    <row r="42" spans="1:28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  <c r="U42" s="2"/>
      <c r="V42" s="2"/>
      <c r="W42" s="2"/>
      <c r="X42" s="2"/>
      <c r="Y42" s="2"/>
      <c r="Z42" s="2"/>
      <c r="AA42" s="2"/>
      <c r="AB42" s="40"/>
    </row>
    <row r="43" spans="1:28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  <c r="U43" s="2"/>
      <c r="V43" s="2"/>
      <c r="W43" s="2"/>
      <c r="X43" s="2"/>
      <c r="Y43" s="2"/>
      <c r="Z43" s="2"/>
      <c r="AA43" s="2"/>
      <c r="AB43" s="41"/>
    </row>
    <row r="44" spans="1:28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  <c r="U44" s="2"/>
      <c r="V44" s="2"/>
      <c r="W44" s="2"/>
      <c r="X44" s="2"/>
      <c r="Y44" s="2"/>
      <c r="Z44" s="2"/>
      <c r="AA44" s="2"/>
      <c r="AB44" s="40"/>
    </row>
    <row r="45" spans="1:28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  <c r="U45" s="2"/>
      <c r="V45" s="2"/>
      <c r="W45" s="2"/>
      <c r="X45" s="2"/>
      <c r="Y45" s="2"/>
      <c r="Z45" s="2"/>
      <c r="AA45" s="2"/>
      <c r="AB45" s="40"/>
    </row>
    <row r="46" spans="1:28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  <c r="U46" s="2"/>
      <c r="V46" s="2"/>
      <c r="W46" s="2"/>
      <c r="X46" s="2"/>
      <c r="Y46" s="2"/>
      <c r="Z46" s="2"/>
      <c r="AA46" s="2"/>
      <c r="AB46" s="40"/>
    </row>
    <row r="47" spans="1:28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  <c r="U47" s="2"/>
      <c r="V47" s="2"/>
      <c r="W47" s="2"/>
      <c r="X47" s="2"/>
      <c r="Y47" s="2"/>
      <c r="Z47" s="2"/>
      <c r="AA47" s="2"/>
      <c r="AB47" s="41"/>
    </row>
    <row r="48" spans="1:28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  <c r="U48" s="2"/>
      <c r="V48" s="2"/>
      <c r="W48" s="2"/>
      <c r="X48" s="2"/>
      <c r="Y48" s="2"/>
      <c r="Z48" s="2"/>
      <c r="AA48" s="2"/>
      <c r="AB48" s="40"/>
    </row>
    <row r="49" spans="2:28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  <c r="U49" s="2"/>
      <c r="V49" s="2"/>
      <c r="W49" s="2"/>
      <c r="X49" s="2"/>
      <c r="Y49" s="2"/>
      <c r="Z49" s="2"/>
      <c r="AA49" s="2"/>
      <c r="AB49" s="40"/>
    </row>
    <row r="50" spans="2:28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  <c r="U50" s="2"/>
      <c r="V50" s="2"/>
      <c r="W50" s="2"/>
      <c r="X50" s="2"/>
      <c r="Y50" s="2"/>
      <c r="Z50" s="2"/>
      <c r="AA50" s="2"/>
      <c r="AB50" s="41"/>
    </row>
    <row r="51" spans="2:28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  <c r="U51" s="2"/>
      <c r="V51" s="2"/>
      <c r="W51" s="2"/>
      <c r="X51" s="2"/>
      <c r="Y51" s="2"/>
      <c r="Z51" s="2"/>
      <c r="AA51" s="2"/>
      <c r="AB51" s="40"/>
    </row>
    <row r="52" spans="2:28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  <c r="U52" s="2"/>
      <c r="V52" s="2"/>
      <c r="W52" s="2"/>
      <c r="X52" s="2"/>
      <c r="Y52" s="2"/>
      <c r="Z52" s="2"/>
      <c r="AA52" s="2"/>
      <c r="AB52" s="40"/>
    </row>
    <row r="53" spans="2:28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  <c r="U53" s="2"/>
      <c r="V53" s="2"/>
      <c r="W53" s="2"/>
      <c r="X53" s="2"/>
      <c r="Y53" s="2"/>
      <c r="Z53" s="2"/>
      <c r="AA53" s="2"/>
      <c r="AB53" s="41"/>
    </row>
    <row r="54" spans="2:28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  <c r="U54" s="2"/>
      <c r="V54" s="2"/>
      <c r="W54" s="2"/>
      <c r="X54" s="2"/>
      <c r="Y54" s="2"/>
      <c r="Z54" s="2"/>
      <c r="AA54" s="2"/>
      <c r="AB54" s="41"/>
    </row>
    <row r="55" spans="2:28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  <c r="U55" s="2"/>
      <c r="V55" s="2"/>
      <c r="W55" s="2"/>
      <c r="X55" s="2"/>
      <c r="Y55" s="2"/>
      <c r="Z55" s="2"/>
      <c r="AA55" s="2"/>
      <c r="AB55" s="40"/>
    </row>
    <row r="56" spans="2:28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  <c r="U56" s="2"/>
      <c r="V56" s="2"/>
      <c r="W56" s="2"/>
      <c r="X56" s="2"/>
      <c r="Y56" s="2"/>
      <c r="Z56" s="2"/>
      <c r="AA56" s="2"/>
      <c r="AB56" s="41"/>
    </row>
    <row r="57" spans="2:28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  <c r="U57" s="2"/>
      <c r="V57" s="2"/>
      <c r="W57" s="2"/>
      <c r="X57" s="2"/>
      <c r="Y57" s="2"/>
      <c r="Z57" s="2"/>
      <c r="AA57" s="2"/>
      <c r="AB57" s="40"/>
    </row>
    <row r="58" spans="2:28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  <c r="U58" s="2"/>
      <c r="V58" s="2"/>
      <c r="W58" s="2"/>
      <c r="X58" s="2"/>
      <c r="Y58" s="2"/>
      <c r="Z58" s="2"/>
      <c r="AA58" s="2"/>
      <c r="AB58" s="41"/>
    </row>
    <row r="59" spans="2:28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  <c r="U59" s="2"/>
      <c r="V59" s="2"/>
      <c r="W59" s="2"/>
      <c r="X59" s="2"/>
      <c r="Y59" s="2"/>
      <c r="Z59" s="2"/>
      <c r="AA59" s="2"/>
      <c r="AB59" s="40"/>
    </row>
    <row r="60" spans="2:28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  <c r="U60" s="2"/>
      <c r="V60" s="2"/>
      <c r="W60" s="2"/>
      <c r="X60" s="2"/>
      <c r="Y60" s="2"/>
      <c r="Z60" s="2"/>
      <c r="AA60" s="2"/>
      <c r="AB60" s="40"/>
    </row>
    <row r="61" spans="2:28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  <c r="U61" s="2"/>
      <c r="V61" s="2"/>
      <c r="W61" s="2"/>
      <c r="X61" s="2"/>
      <c r="Y61" s="2"/>
      <c r="Z61" s="2"/>
      <c r="AA61" s="2"/>
      <c r="AB61" s="40"/>
    </row>
    <row r="62" spans="2:28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  <c r="U62" s="2"/>
      <c r="V62" s="2"/>
      <c r="W62" s="2"/>
      <c r="X62" s="2"/>
      <c r="Y62" s="2"/>
      <c r="Z62" s="2"/>
      <c r="AA62" s="2"/>
      <c r="AB62" s="41"/>
    </row>
    <row r="63" spans="2:28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  <c r="U63" s="2"/>
      <c r="V63" s="2"/>
      <c r="W63" s="2"/>
      <c r="X63" s="2"/>
      <c r="Y63" s="2"/>
      <c r="Z63" s="2"/>
      <c r="AA63" s="2"/>
      <c r="AB63" s="40"/>
    </row>
    <row r="64" spans="2:28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  <c r="U64" s="2"/>
      <c r="V64" s="2"/>
      <c r="W64" s="2"/>
      <c r="X64" s="2"/>
      <c r="Y64" s="2"/>
      <c r="Z64" s="2"/>
      <c r="AA64" s="2"/>
      <c r="AB64" s="40"/>
    </row>
    <row r="65" spans="2:28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  <c r="U65" s="2"/>
      <c r="V65" s="2"/>
      <c r="W65" s="2"/>
      <c r="X65" s="2"/>
      <c r="Y65" s="2"/>
      <c r="Z65" s="2"/>
      <c r="AA65" s="2"/>
      <c r="AB65" s="41"/>
    </row>
    <row r="66" spans="2:28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  <c r="U66" s="2"/>
      <c r="V66" s="2"/>
      <c r="W66" s="2"/>
      <c r="X66" s="2"/>
      <c r="Y66" s="2"/>
      <c r="Z66" s="2"/>
      <c r="AA66" s="2"/>
      <c r="AB66" s="40"/>
    </row>
    <row r="67" spans="2:28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  <c r="U67" s="2"/>
      <c r="V67" s="2"/>
      <c r="W67" s="2"/>
      <c r="X67" s="2"/>
      <c r="Y67" s="2"/>
      <c r="Z67" s="2"/>
      <c r="AA67" s="2"/>
      <c r="AB67" s="40"/>
    </row>
    <row r="68" spans="2:28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  <c r="U68" s="2"/>
      <c r="V68" s="2"/>
      <c r="W68" s="2"/>
      <c r="X68" s="2"/>
      <c r="Y68" s="2"/>
      <c r="Z68" s="2"/>
      <c r="AA68" s="2"/>
      <c r="AB68" s="40"/>
    </row>
    <row r="69" spans="2:28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  <c r="U69" s="2"/>
      <c r="V69" s="2"/>
      <c r="W69" s="2"/>
      <c r="X69" s="2"/>
      <c r="Y69" s="2"/>
      <c r="Z69" s="2"/>
      <c r="AA69" s="2"/>
      <c r="AB69" s="40"/>
    </row>
    <row r="70" spans="2:28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  <c r="U70" s="2"/>
      <c r="V70" s="2"/>
      <c r="W70" s="2"/>
      <c r="X70" s="2"/>
      <c r="Y70" s="2"/>
      <c r="Z70" s="2"/>
      <c r="AA70" s="2"/>
      <c r="AB70" s="41"/>
    </row>
    <row r="71" spans="2:28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  <c r="U71" s="2"/>
      <c r="V71" s="2"/>
      <c r="W71" s="2"/>
      <c r="X71" s="2"/>
      <c r="Y71" s="2"/>
      <c r="Z71" s="2"/>
      <c r="AA71" s="2"/>
      <c r="AB71" s="41"/>
    </row>
    <row r="72" spans="2:28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  <c r="U72" s="2"/>
      <c r="V72" s="2"/>
      <c r="W72" s="2"/>
      <c r="X72" s="2"/>
      <c r="Y72" s="2"/>
      <c r="Z72" s="2"/>
      <c r="AA72" s="2"/>
      <c r="AB72" s="40"/>
    </row>
    <row r="73" spans="2:28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  <c r="U73" s="2"/>
      <c r="V73" s="2"/>
      <c r="W73" s="2"/>
      <c r="X73" s="2"/>
      <c r="Y73" s="2"/>
      <c r="Z73" s="2"/>
      <c r="AA73" s="2"/>
      <c r="AB73" s="40"/>
    </row>
    <row r="74" spans="2:28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  <c r="U74" s="2"/>
      <c r="V74" s="2"/>
      <c r="W74" s="2"/>
      <c r="X74" s="2"/>
      <c r="Y74" s="2"/>
      <c r="Z74" s="2"/>
      <c r="AA74" s="2"/>
      <c r="AB74" s="41"/>
    </row>
    <row r="75" spans="2:28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  <c r="U75" s="2"/>
      <c r="V75" s="2"/>
      <c r="W75" s="2"/>
      <c r="X75" s="2"/>
      <c r="Y75" s="2"/>
      <c r="Z75" s="2"/>
      <c r="AA75" s="2"/>
      <c r="AB75" s="41"/>
    </row>
    <row r="76" spans="2:28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  <c r="U76" s="2"/>
      <c r="V76" s="2"/>
      <c r="W76" s="2"/>
      <c r="X76" s="2"/>
      <c r="Y76" s="2"/>
      <c r="Z76" s="2"/>
      <c r="AA76" s="2"/>
      <c r="AB76" s="40"/>
    </row>
    <row r="77" spans="2:28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  <c r="U77" s="2"/>
      <c r="V77" s="2"/>
      <c r="W77" s="2"/>
      <c r="X77" s="2"/>
      <c r="Y77" s="2"/>
      <c r="Z77" s="2"/>
      <c r="AA77" s="2"/>
      <c r="AB77" s="41"/>
    </row>
    <row r="78" spans="2:28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  <c r="U78" s="2"/>
      <c r="V78" s="2"/>
      <c r="W78" s="2"/>
      <c r="X78" s="2"/>
      <c r="Y78" s="2"/>
      <c r="Z78" s="2"/>
      <c r="AA78" s="2"/>
      <c r="AB78" s="40"/>
    </row>
    <row r="79" spans="2:28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  <c r="U79" s="2"/>
      <c r="V79" s="2"/>
      <c r="W79" s="2"/>
      <c r="X79" s="2"/>
      <c r="Y79" s="2"/>
      <c r="Z79" s="2"/>
      <c r="AA79" s="2"/>
      <c r="AB79" s="41"/>
    </row>
    <row r="80" spans="2:28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  <c r="U80" s="2"/>
      <c r="V80" s="2"/>
      <c r="W80" s="2"/>
      <c r="X80" s="2"/>
      <c r="Y80" s="2"/>
      <c r="Z80" s="2"/>
      <c r="AA80" s="2"/>
      <c r="AB80" s="40"/>
    </row>
    <row r="81" spans="2:28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  <c r="U81" s="2"/>
      <c r="V81" s="2"/>
      <c r="W81" s="2"/>
      <c r="X81" s="2"/>
      <c r="Y81" s="2"/>
      <c r="Z81" s="2"/>
      <c r="AA81" s="2"/>
      <c r="AB81" s="40"/>
    </row>
    <row r="82" spans="2:28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  <c r="U82" s="2"/>
      <c r="V82" s="2"/>
      <c r="W82" s="2"/>
      <c r="X82" s="2"/>
      <c r="Y82" s="2"/>
      <c r="Z82" s="2"/>
      <c r="AA82" s="2"/>
      <c r="AB82" s="41"/>
    </row>
    <row r="83" spans="2:28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  <c r="U83" s="2"/>
      <c r="V83" s="2"/>
      <c r="W83" s="2"/>
      <c r="X83" s="2"/>
      <c r="Y83" s="2"/>
      <c r="Z83" s="2"/>
      <c r="AA83" s="2"/>
      <c r="AB83" s="41"/>
    </row>
    <row r="84" spans="2:28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  <c r="U84" s="2"/>
      <c r="V84" s="2"/>
      <c r="W84" s="2"/>
      <c r="X84" s="2"/>
      <c r="Y84" s="2"/>
      <c r="Z84" s="2"/>
      <c r="AA84" s="2"/>
      <c r="AB84" s="40"/>
    </row>
    <row r="85" spans="2:28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  <c r="U85" s="2"/>
      <c r="V85" s="2"/>
      <c r="W85" s="2"/>
      <c r="X85" s="2"/>
      <c r="Y85" s="2"/>
      <c r="Z85" s="2"/>
      <c r="AA85" s="2"/>
      <c r="AB85" s="40"/>
    </row>
    <row r="86" spans="2:28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  <c r="U86" s="2"/>
      <c r="V86" s="2"/>
      <c r="W86" s="2"/>
      <c r="X86" s="2"/>
      <c r="Y86" s="2"/>
      <c r="Z86" s="2"/>
      <c r="AA86" s="2"/>
      <c r="AB86" s="41"/>
    </row>
    <row r="87" spans="2:28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  <c r="U87" s="2"/>
      <c r="V87" s="2"/>
      <c r="W87" s="2"/>
      <c r="X87" s="2"/>
      <c r="Y87" s="2"/>
      <c r="Z87" s="2"/>
      <c r="AA87" s="2"/>
      <c r="AB87" s="41"/>
    </row>
    <row r="88" spans="2:28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  <c r="U88" s="2"/>
      <c r="V88" s="2"/>
      <c r="W88" s="2"/>
      <c r="X88" s="2"/>
      <c r="Y88" s="2"/>
      <c r="Z88" s="2"/>
      <c r="AA88" s="2"/>
      <c r="AB88" s="40"/>
    </row>
    <row r="89" spans="2:28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  <c r="U89" s="2"/>
      <c r="V89" s="2"/>
      <c r="W89" s="2"/>
      <c r="X89" s="2"/>
      <c r="Y89" s="2"/>
      <c r="Z89" s="2"/>
      <c r="AA89" s="2"/>
      <c r="AB89" s="41"/>
    </row>
    <row r="90" spans="2:28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  <c r="U90" s="2"/>
      <c r="V90" s="2"/>
      <c r="W90" s="2"/>
      <c r="X90" s="2"/>
      <c r="Y90" s="2"/>
      <c r="Z90" s="2"/>
      <c r="AA90" s="2"/>
      <c r="AB90" s="41"/>
    </row>
    <row r="91" spans="2:28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  <c r="U91" s="2"/>
      <c r="V91" s="2"/>
      <c r="W91" s="2"/>
      <c r="X91" s="2"/>
      <c r="Y91" s="2"/>
      <c r="Z91" s="2"/>
      <c r="AA91" s="2"/>
      <c r="AB91" s="41"/>
    </row>
    <row r="92" spans="2:28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  <c r="U92" s="2"/>
      <c r="V92" s="2"/>
      <c r="W92" s="2"/>
      <c r="X92" s="2"/>
      <c r="Y92" s="2"/>
      <c r="Z92" s="2"/>
      <c r="AA92" s="2"/>
      <c r="AB92" s="41"/>
    </row>
    <row r="93" spans="2:28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  <c r="U93" s="2"/>
      <c r="V93" s="2"/>
      <c r="W93" s="2"/>
      <c r="X93" s="2"/>
      <c r="Y93" s="2"/>
      <c r="Z93" s="2"/>
      <c r="AA93" s="2"/>
      <c r="AB93" s="40"/>
    </row>
    <row r="94" spans="2:28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  <c r="U94" s="2"/>
      <c r="V94" s="2"/>
      <c r="W94" s="2"/>
      <c r="X94" s="2"/>
      <c r="Y94" s="2"/>
      <c r="Z94" s="2"/>
      <c r="AA94" s="2"/>
      <c r="AB94" s="40"/>
    </row>
    <row r="95" spans="2:28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  <c r="U95" s="2"/>
      <c r="V95" s="2"/>
      <c r="W95" s="2"/>
      <c r="X95" s="2"/>
      <c r="Y95" s="2"/>
      <c r="Z95" s="2"/>
      <c r="AA95" s="2"/>
      <c r="AB95" s="40"/>
    </row>
    <row r="96" spans="2:28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  <c r="U96" s="2"/>
      <c r="V96" s="2"/>
      <c r="W96" s="2"/>
      <c r="X96" s="2"/>
      <c r="Y96" s="2"/>
      <c r="Z96" s="2"/>
      <c r="AA96" s="2"/>
      <c r="AB96" s="41"/>
    </row>
    <row r="97" spans="2:28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  <c r="U97" s="2"/>
      <c r="V97" s="2"/>
      <c r="W97" s="2"/>
      <c r="X97" s="2"/>
      <c r="Y97" s="2"/>
      <c r="Z97" s="2"/>
      <c r="AA97" s="2"/>
      <c r="AB97" s="40"/>
    </row>
    <row r="98" spans="2:28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  <c r="U98" s="2"/>
      <c r="V98" s="2"/>
      <c r="W98" s="2"/>
      <c r="X98" s="2"/>
      <c r="Y98" s="2"/>
      <c r="Z98" s="2"/>
      <c r="AA98" s="2"/>
      <c r="AB98" s="41"/>
    </row>
    <row r="99" spans="2:28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  <c r="U99" s="2"/>
      <c r="V99" s="2"/>
      <c r="W99" s="2"/>
      <c r="X99" s="2"/>
      <c r="Y99" s="2"/>
      <c r="Z99" s="2"/>
      <c r="AA99" s="2"/>
      <c r="AB99" s="41"/>
    </row>
    <row r="100" spans="2:28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  <c r="U100" s="2"/>
      <c r="V100" s="2"/>
      <c r="W100" s="2"/>
      <c r="X100" s="2"/>
      <c r="Y100" s="2"/>
      <c r="Z100" s="2"/>
      <c r="AA100" s="2"/>
      <c r="AB100" s="41"/>
    </row>
    <row r="101" spans="2:28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  <c r="U101" s="2"/>
      <c r="V101" s="2"/>
      <c r="W101" s="2"/>
      <c r="X101" s="2"/>
      <c r="Y101" s="2"/>
      <c r="Z101" s="2"/>
      <c r="AA101" s="2"/>
      <c r="AB101" s="41"/>
    </row>
    <row r="102" spans="2:28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  <c r="U102" s="2"/>
      <c r="V102" s="2"/>
      <c r="W102" s="2"/>
      <c r="X102" s="2"/>
      <c r="Y102" s="2"/>
      <c r="Z102" s="2"/>
      <c r="AA102" s="2"/>
      <c r="AB102" s="41"/>
    </row>
    <row r="103" spans="2:28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  <c r="U103" s="2"/>
      <c r="V103" s="2"/>
      <c r="W103" s="2"/>
      <c r="X103" s="2"/>
      <c r="Y103" s="2"/>
      <c r="Z103" s="2"/>
      <c r="AA103" s="2"/>
      <c r="AB103" s="41"/>
    </row>
    <row r="104" spans="2:28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  <c r="U104" s="2"/>
      <c r="V104" s="2"/>
      <c r="W104" s="2"/>
      <c r="X104" s="2"/>
      <c r="Y104" s="2"/>
      <c r="Z104" s="2"/>
      <c r="AA104" s="2"/>
      <c r="AB104" s="40"/>
    </row>
    <row r="105" spans="2:28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  <c r="U105" s="2"/>
      <c r="V105" s="2"/>
      <c r="W105" s="2"/>
      <c r="X105" s="2"/>
      <c r="Y105" s="2"/>
      <c r="Z105" s="2"/>
      <c r="AA105" s="2"/>
      <c r="AB105" s="41"/>
    </row>
    <row r="106" spans="2:28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  <c r="U106" s="2"/>
      <c r="V106" s="2"/>
      <c r="W106" s="2"/>
      <c r="X106" s="2"/>
      <c r="Y106" s="2"/>
      <c r="Z106" s="2"/>
      <c r="AA106" s="2"/>
      <c r="AB106" s="40"/>
    </row>
    <row r="107" spans="2:28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  <c r="U107" s="2"/>
      <c r="V107" s="2"/>
      <c r="W107" s="2"/>
      <c r="X107" s="2"/>
      <c r="Y107" s="2"/>
      <c r="Z107" s="2"/>
      <c r="AA107" s="2"/>
      <c r="AB107" s="40"/>
    </row>
    <row r="108" spans="2:28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  <c r="U108" s="2"/>
      <c r="V108" s="2"/>
      <c r="W108" s="2"/>
      <c r="X108" s="2"/>
      <c r="Y108" s="2"/>
      <c r="Z108" s="2"/>
      <c r="AA108" s="2"/>
      <c r="AB108" s="41"/>
    </row>
    <row r="109" spans="2:28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  <c r="U109" s="2"/>
      <c r="V109" s="2"/>
      <c r="W109" s="2"/>
      <c r="X109" s="2"/>
      <c r="Y109" s="2"/>
      <c r="Z109" s="2"/>
      <c r="AA109" s="2"/>
      <c r="AB109" s="40"/>
    </row>
    <row r="110" spans="2:28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  <c r="U110" s="2"/>
      <c r="V110" s="2"/>
      <c r="W110" s="2"/>
      <c r="X110" s="2"/>
      <c r="Y110" s="2"/>
      <c r="Z110" s="2"/>
      <c r="AA110" s="2"/>
      <c r="AB110" s="41"/>
    </row>
    <row r="111" spans="2:28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  <c r="U111" s="2"/>
      <c r="V111" s="2"/>
      <c r="W111" s="2"/>
      <c r="X111" s="2"/>
      <c r="Y111" s="2"/>
      <c r="Z111" s="2"/>
      <c r="AA111" s="2"/>
      <c r="AB111" s="40"/>
    </row>
    <row r="112" spans="2:28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  <c r="U112" s="2"/>
      <c r="V112" s="2"/>
      <c r="W112" s="2"/>
      <c r="X112" s="2"/>
      <c r="Y112" s="2"/>
      <c r="Z112" s="2"/>
      <c r="AA112" s="2"/>
      <c r="AB112" s="40"/>
    </row>
    <row r="113" spans="2:28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  <c r="U113" s="2"/>
      <c r="V113" s="2"/>
      <c r="W113" s="2"/>
      <c r="X113" s="2"/>
      <c r="Y113" s="2"/>
      <c r="Z113" s="2"/>
      <c r="AA113" s="2"/>
      <c r="AB113" s="40"/>
    </row>
    <row r="114" spans="2:28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  <c r="U114" s="2"/>
      <c r="V114" s="2"/>
      <c r="W114" s="2"/>
      <c r="X114" s="2"/>
      <c r="Y114" s="2"/>
      <c r="Z114" s="2"/>
      <c r="AA114" s="2"/>
      <c r="AB114" s="40"/>
    </row>
    <row r="115" spans="2:28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  <c r="U115" s="2"/>
      <c r="V115" s="2"/>
      <c r="W115" s="2"/>
      <c r="X115" s="2"/>
      <c r="Y115" s="2"/>
      <c r="Z115" s="2"/>
      <c r="AA115" s="2"/>
      <c r="AB115" s="40"/>
    </row>
    <row r="116" spans="2:28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  <c r="U116" s="2"/>
      <c r="V116" s="2"/>
      <c r="W116" s="2"/>
      <c r="X116" s="2"/>
      <c r="Y116" s="2"/>
      <c r="Z116" s="2"/>
      <c r="AA116" s="2"/>
      <c r="AB116" s="41"/>
    </row>
    <row r="117" spans="2:28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  <c r="U117" s="2"/>
      <c r="V117" s="2"/>
      <c r="W117" s="2"/>
      <c r="X117" s="2"/>
      <c r="Y117" s="2"/>
      <c r="Z117" s="2"/>
      <c r="AA117" s="2"/>
      <c r="AB117" s="41"/>
    </row>
    <row r="118" spans="2:28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  <c r="U118" s="2"/>
      <c r="V118" s="2"/>
      <c r="W118" s="2"/>
      <c r="X118" s="2"/>
      <c r="Y118" s="2"/>
      <c r="Z118" s="2"/>
      <c r="AA118" s="2"/>
      <c r="AB118" s="41"/>
    </row>
    <row r="119" spans="2:28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  <c r="U119" s="2"/>
      <c r="V119" s="2"/>
      <c r="W119" s="2"/>
      <c r="X119" s="2"/>
      <c r="Y119" s="2"/>
      <c r="Z119" s="2"/>
      <c r="AA119" s="2"/>
      <c r="AB119" s="41"/>
    </row>
    <row r="120" spans="2:28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  <c r="U120" s="2"/>
      <c r="V120" s="2"/>
      <c r="W120" s="2"/>
      <c r="X120" s="2"/>
      <c r="Y120" s="2"/>
      <c r="Z120" s="2"/>
      <c r="AA120" s="2"/>
      <c r="AB120" s="41"/>
    </row>
    <row r="121" spans="2:28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  <c r="U121" s="2"/>
      <c r="V121" s="2"/>
      <c r="W121" s="2"/>
      <c r="X121" s="2"/>
      <c r="Y121" s="2"/>
      <c r="Z121" s="2"/>
      <c r="AA121" s="2"/>
      <c r="AB121" s="41"/>
    </row>
    <row r="122" spans="2:28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  <c r="U122" s="2"/>
      <c r="V122" s="2"/>
      <c r="W122" s="2"/>
      <c r="X122" s="2"/>
      <c r="Y122" s="2"/>
      <c r="Z122" s="2"/>
      <c r="AA122" s="2"/>
      <c r="AB122" s="41"/>
    </row>
    <row r="123" spans="2:28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  <c r="U123" s="2"/>
      <c r="V123" s="2"/>
      <c r="W123" s="2"/>
      <c r="X123" s="2"/>
      <c r="Y123" s="2"/>
      <c r="Z123" s="2"/>
      <c r="AA123" s="2"/>
      <c r="AB123" s="41"/>
    </row>
    <row r="124" spans="2:28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  <c r="U124" s="2"/>
      <c r="V124" s="2"/>
      <c r="W124" s="2"/>
      <c r="X124" s="2"/>
      <c r="Y124" s="2"/>
      <c r="Z124" s="2"/>
      <c r="AA124" s="2"/>
      <c r="AB124" s="41"/>
    </row>
    <row r="125" spans="2:28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  <c r="U125" s="2"/>
      <c r="V125" s="2"/>
      <c r="W125" s="2"/>
      <c r="X125" s="2"/>
      <c r="Y125" s="2"/>
      <c r="Z125" s="2"/>
      <c r="AA125" s="2"/>
      <c r="AB125" s="40"/>
    </row>
    <row r="126" spans="2:28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  <c r="U126" s="2"/>
      <c r="V126" s="2"/>
      <c r="W126" s="2"/>
      <c r="X126" s="2"/>
      <c r="Y126" s="2"/>
      <c r="Z126" s="2"/>
      <c r="AA126" s="2"/>
      <c r="AB126" s="41"/>
    </row>
    <row r="127" spans="2:28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  <c r="U127" s="2"/>
      <c r="V127" s="2"/>
      <c r="W127" s="2"/>
      <c r="X127" s="2"/>
      <c r="Y127" s="2"/>
      <c r="Z127" s="2"/>
      <c r="AA127" s="2"/>
      <c r="AB127" s="40"/>
    </row>
    <row r="128" spans="2:28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  <c r="U128" s="2"/>
      <c r="V128" s="2"/>
      <c r="W128" s="2"/>
      <c r="X128" s="2"/>
      <c r="Y128" s="2"/>
      <c r="Z128" s="2"/>
      <c r="AA128" s="2"/>
      <c r="AB128" s="41"/>
    </row>
    <row r="129" spans="2:28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  <c r="U129" s="2"/>
      <c r="V129" s="2"/>
      <c r="W129" s="2"/>
      <c r="X129" s="2"/>
      <c r="Y129" s="2"/>
      <c r="Z129" s="2"/>
      <c r="AA129" s="2"/>
      <c r="AB129" s="41"/>
    </row>
    <row r="130" spans="2:28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  <c r="U130" s="2"/>
      <c r="V130" s="2"/>
      <c r="W130" s="2"/>
      <c r="X130" s="2"/>
      <c r="Y130" s="2"/>
      <c r="Z130" s="2"/>
      <c r="AA130" s="2"/>
      <c r="AB130" s="41"/>
    </row>
    <row r="131" spans="2:28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  <c r="U131" s="2"/>
      <c r="V131" s="2"/>
      <c r="W131" s="2"/>
      <c r="X131" s="2"/>
      <c r="Y131" s="2"/>
      <c r="Z131" s="2"/>
      <c r="AA131" s="2"/>
      <c r="AB131" s="40"/>
    </row>
    <row r="132" spans="2:28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  <c r="U132" s="2"/>
      <c r="V132" s="2"/>
      <c r="W132" s="2"/>
      <c r="X132" s="2"/>
      <c r="Y132" s="2"/>
      <c r="Z132" s="2"/>
      <c r="AA132" s="2"/>
      <c r="AB132" s="40"/>
    </row>
    <row r="133" spans="2:28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  <c r="U133" s="2"/>
      <c r="V133" s="2"/>
      <c r="W133" s="2"/>
      <c r="X133" s="2"/>
      <c r="Y133" s="2"/>
      <c r="Z133" s="2"/>
      <c r="AA133" s="2"/>
      <c r="AB133" s="41"/>
    </row>
    <row r="134" spans="2:28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  <c r="U134" s="2"/>
      <c r="V134" s="2"/>
      <c r="W134" s="2"/>
      <c r="X134" s="2"/>
      <c r="Y134" s="2"/>
      <c r="Z134" s="2"/>
      <c r="AA134" s="2"/>
      <c r="AB134" s="41"/>
    </row>
    <row r="135" spans="2:28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  <c r="U135" s="2"/>
      <c r="V135" s="2"/>
      <c r="W135" s="2"/>
      <c r="X135" s="2"/>
      <c r="Y135" s="2"/>
      <c r="Z135" s="2"/>
      <c r="AA135" s="2"/>
      <c r="AB135" s="40"/>
    </row>
    <row r="136" spans="2:28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  <c r="U136" s="2"/>
      <c r="V136" s="2"/>
      <c r="W136" s="2"/>
      <c r="X136" s="2"/>
      <c r="Y136" s="2"/>
      <c r="Z136" s="2"/>
      <c r="AA136" s="2"/>
      <c r="AB136" s="41"/>
    </row>
    <row r="137" spans="2:28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  <c r="U137" s="2"/>
      <c r="V137" s="2"/>
      <c r="W137" s="2"/>
      <c r="X137" s="2"/>
      <c r="Y137" s="2"/>
      <c r="Z137" s="2"/>
      <c r="AA137" s="2"/>
      <c r="AB137" s="41"/>
    </row>
    <row r="138" spans="2:28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  <c r="U138" s="2"/>
      <c r="V138" s="2"/>
      <c r="W138" s="2"/>
      <c r="X138" s="2"/>
      <c r="Y138" s="2"/>
      <c r="Z138" s="2"/>
      <c r="AA138" s="2"/>
      <c r="AB138" s="40"/>
    </row>
    <row r="139" spans="2:28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  <c r="U139" s="2"/>
      <c r="V139" s="2"/>
      <c r="W139" s="2"/>
      <c r="X139" s="2"/>
      <c r="Y139" s="2"/>
      <c r="Z139" s="2"/>
      <c r="AA139" s="2"/>
      <c r="AB139" s="40"/>
    </row>
    <row r="140" spans="2:28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  <c r="U140" s="2"/>
      <c r="V140" s="2"/>
      <c r="W140" s="2"/>
      <c r="X140" s="2"/>
      <c r="Y140" s="2"/>
      <c r="Z140" s="2"/>
      <c r="AA140" s="2"/>
      <c r="AB140" s="40"/>
    </row>
    <row r="141" spans="2:28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  <c r="U141" s="2"/>
      <c r="V141" s="2"/>
      <c r="W141" s="2"/>
      <c r="X141" s="2"/>
      <c r="Y141" s="2"/>
      <c r="Z141" s="2"/>
      <c r="AA141" s="2"/>
      <c r="AB141" s="40"/>
    </row>
    <row r="142" spans="2:28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  <c r="U142" s="2"/>
      <c r="V142" s="2"/>
      <c r="W142" s="2"/>
      <c r="X142" s="2"/>
      <c r="Y142" s="2"/>
      <c r="Z142" s="2"/>
      <c r="AA142" s="2"/>
      <c r="AB142" s="41"/>
    </row>
    <row r="143" spans="2:28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  <c r="U143" s="2"/>
      <c r="V143" s="2"/>
      <c r="W143" s="2"/>
      <c r="X143" s="2"/>
      <c r="Y143" s="2"/>
      <c r="Z143" s="2"/>
      <c r="AA143" s="2"/>
      <c r="AB143" s="40"/>
    </row>
    <row r="144" spans="2:28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  <c r="U144" s="2"/>
      <c r="V144" s="2"/>
      <c r="W144" s="2"/>
      <c r="X144" s="2"/>
      <c r="Y144" s="2"/>
      <c r="Z144" s="2"/>
      <c r="AA144" s="2"/>
      <c r="AB144" s="41"/>
    </row>
    <row r="145" spans="2:28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  <c r="U145" s="2"/>
      <c r="V145" s="2"/>
      <c r="W145" s="2"/>
      <c r="X145" s="2"/>
      <c r="Y145" s="2"/>
      <c r="Z145" s="2"/>
      <c r="AA145" s="2"/>
      <c r="AB145" s="41"/>
    </row>
    <row r="146" spans="2:28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  <c r="U146" s="2"/>
      <c r="V146" s="2"/>
      <c r="W146" s="2"/>
      <c r="X146" s="2"/>
      <c r="Y146" s="2"/>
      <c r="Z146" s="2"/>
      <c r="AA146" s="2"/>
      <c r="AB146" s="41"/>
    </row>
    <row r="147" spans="2:28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  <c r="U147" s="2"/>
      <c r="V147" s="2"/>
      <c r="W147" s="2"/>
      <c r="X147" s="2"/>
      <c r="Y147" s="2"/>
      <c r="Z147" s="2"/>
      <c r="AA147" s="2"/>
      <c r="AB147" s="41"/>
    </row>
    <row r="148" spans="2:28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  <c r="U148" s="2"/>
      <c r="V148" s="2"/>
      <c r="W148" s="2"/>
      <c r="X148" s="2"/>
      <c r="Y148" s="2"/>
      <c r="Z148" s="2"/>
      <c r="AA148" s="2"/>
      <c r="AB148" s="41"/>
    </row>
    <row r="149" spans="2:28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  <c r="U149" s="2"/>
      <c r="V149" s="2"/>
      <c r="W149" s="2"/>
      <c r="X149" s="2"/>
      <c r="Y149" s="2"/>
      <c r="Z149" s="2"/>
      <c r="AA149" s="2"/>
      <c r="AB149" s="41"/>
    </row>
    <row r="150" spans="2:28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  <c r="U150" s="2"/>
      <c r="V150" s="2"/>
      <c r="W150" s="2"/>
      <c r="X150" s="2"/>
      <c r="Y150" s="2"/>
      <c r="Z150" s="2"/>
      <c r="AA150" s="2"/>
      <c r="AB150" s="41"/>
    </row>
    <row r="151" spans="2:28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  <c r="U151" s="2"/>
      <c r="V151" s="2"/>
      <c r="W151" s="2"/>
      <c r="X151" s="2"/>
      <c r="Y151" s="2"/>
      <c r="Z151" s="2"/>
      <c r="AA151" s="2"/>
      <c r="AB151" s="41"/>
    </row>
    <row r="152" spans="2:28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  <c r="U152" s="2"/>
      <c r="V152" s="2"/>
      <c r="W152" s="2"/>
      <c r="X152" s="2"/>
      <c r="Y152" s="2"/>
      <c r="Z152" s="2"/>
      <c r="AA152" s="2"/>
      <c r="AB152" s="41"/>
    </row>
    <row r="153" spans="2:28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  <c r="U153" s="2"/>
      <c r="V153" s="2"/>
      <c r="W153" s="2"/>
      <c r="X153" s="2"/>
      <c r="Y153" s="2"/>
      <c r="Z153" s="2"/>
      <c r="AA153" s="2"/>
      <c r="AB153" s="41"/>
    </row>
    <row r="154" spans="2:28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  <c r="U154" s="2"/>
      <c r="V154" s="2"/>
      <c r="W154" s="2"/>
      <c r="X154" s="2"/>
      <c r="Y154" s="2"/>
      <c r="Z154" s="2"/>
      <c r="AA154" s="2"/>
      <c r="AB154" s="41"/>
    </row>
    <row r="155" spans="2:28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  <c r="U155" s="2"/>
      <c r="V155" s="2"/>
      <c r="W155" s="2"/>
      <c r="X155" s="2"/>
      <c r="Y155" s="2"/>
      <c r="Z155" s="2"/>
      <c r="AA155" s="2"/>
      <c r="AB155" s="41"/>
    </row>
    <row r="156" spans="2:28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  <c r="U156" s="2"/>
      <c r="V156" s="2"/>
      <c r="W156" s="2"/>
      <c r="X156" s="2"/>
      <c r="Y156" s="2"/>
      <c r="Z156" s="2"/>
      <c r="AA156" s="2"/>
      <c r="AB156" s="41"/>
    </row>
    <row r="157" spans="2:28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  <c r="U157" s="2"/>
      <c r="V157" s="2"/>
      <c r="W157" s="2"/>
      <c r="X157" s="2"/>
      <c r="Y157" s="2"/>
      <c r="Z157" s="2"/>
      <c r="AA157" s="2"/>
      <c r="AB157" s="41"/>
    </row>
    <row r="158" spans="2:28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  <c r="U158" s="2"/>
      <c r="V158" s="2"/>
      <c r="W158" s="2"/>
      <c r="X158" s="2"/>
      <c r="Y158" s="2"/>
      <c r="Z158" s="2"/>
      <c r="AA158" s="2"/>
      <c r="AB158" s="41"/>
    </row>
    <row r="159" spans="2:28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  <c r="U159" s="2"/>
      <c r="V159" s="2"/>
      <c r="W159" s="2"/>
      <c r="X159" s="2"/>
      <c r="Y159" s="2"/>
      <c r="Z159" s="2"/>
      <c r="AA159" s="2"/>
      <c r="AB159" s="41"/>
    </row>
    <row r="160" spans="2:28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  <c r="U160" s="2"/>
      <c r="V160" s="2"/>
      <c r="W160" s="2"/>
      <c r="X160" s="2"/>
      <c r="Y160" s="2"/>
      <c r="Z160" s="2"/>
      <c r="AA160" s="2"/>
      <c r="AB160" s="41"/>
    </row>
    <row r="161" spans="2:28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  <c r="U161" s="2"/>
      <c r="V161" s="2"/>
      <c r="W161" s="2"/>
      <c r="X161" s="2"/>
      <c r="Y161" s="2"/>
      <c r="Z161" s="2"/>
      <c r="AA161" s="2"/>
      <c r="AB161" s="41"/>
    </row>
    <row r="162" spans="2:28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  <c r="U162" s="2"/>
      <c r="V162" s="2"/>
      <c r="W162" s="2"/>
      <c r="X162" s="2"/>
      <c r="Y162" s="2"/>
      <c r="Z162" s="2"/>
      <c r="AA162" s="2"/>
      <c r="AB162" s="41"/>
    </row>
    <row r="163" spans="2:28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  <c r="U163" s="2"/>
      <c r="V163" s="2"/>
      <c r="W163" s="2"/>
      <c r="X163" s="2"/>
      <c r="Y163" s="2"/>
      <c r="Z163" s="2"/>
      <c r="AA163" s="2"/>
      <c r="AB163" s="41"/>
    </row>
    <row r="164" spans="2:28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  <c r="U164" s="2"/>
      <c r="V164" s="2"/>
      <c r="W164" s="2"/>
      <c r="X164" s="2"/>
      <c r="Y164" s="2"/>
      <c r="Z164" s="2"/>
      <c r="AA164" s="2"/>
      <c r="AB164" s="41"/>
    </row>
    <row r="165" spans="2:28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  <c r="U165" s="2"/>
      <c r="V165" s="2"/>
      <c r="W165" s="2"/>
      <c r="X165" s="2"/>
      <c r="Y165" s="2"/>
      <c r="Z165" s="2"/>
      <c r="AA165" s="2"/>
      <c r="AB165" s="41"/>
    </row>
    <row r="166" spans="2:28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  <c r="U166" s="2"/>
      <c r="V166" s="2"/>
      <c r="W166" s="2"/>
      <c r="X166" s="2"/>
      <c r="Y166" s="2"/>
      <c r="Z166" s="2"/>
      <c r="AA166" s="2"/>
      <c r="AB166" s="41"/>
    </row>
    <row r="167" spans="2:28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  <c r="U167" s="2"/>
      <c r="V167" s="2"/>
      <c r="W167" s="2"/>
      <c r="X167" s="2"/>
      <c r="Y167" s="2"/>
      <c r="Z167" s="2"/>
      <c r="AA167" s="2"/>
      <c r="AB167" s="41"/>
    </row>
    <row r="168" spans="2:28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  <c r="U168" s="2"/>
      <c r="V168" s="2"/>
      <c r="W168" s="2"/>
      <c r="X168" s="2"/>
      <c r="Y168" s="2"/>
      <c r="Z168" s="2"/>
      <c r="AA168" s="2"/>
      <c r="AB168" s="41"/>
    </row>
    <row r="169" spans="2:28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  <c r="U169" s="2"/>
      <c r="V169" s="2"/>
      <c r="W169" s="2"/>
      <c r="X169" s="2"/>
      <c r="Y169" s="2"/>
      <c r="Z169" s="2"/>
      <c r="AA169" s="2"/>
      <c r="AB169" s="41"/>
    </row>
    <row r="170" spans="2:28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  <c r="U170" s="2"/>
      <c r="V170" s="2"/>
      <c r="W170" s="2"/>
      <c r="X170" s="2"/>
      <c r="Y170" s="2"/>
      <c r="Z170" s="2"/>
      <c r="AA170" s="2"/>
      <c r="AB170" s="41"/>
    </row>
    <row r="171" spans="2:28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  <c r="U171" s="2"/>
      <c r="V171" s="2"/>
      <c r="W171" s="2"/>
      <c r="X171" s="2"/>
      <c r="Y171" s="2"/>
      <c r="Z171" s="2"/>
      <c r="AA171" s="2"/>
      <c r="AB171" s="40"/>
    </row>
    <row r="172" spans="2:28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  <c r="U172" s="2"/>
      <c r="V172" s="2"/>
      <c r="W172" s="2"/>
      <c r="X172" s="2"/>
      <c r="Y172" s="2"/>
      <c r="Z172" s="2"/>
      <c r="AA172" s="2"/>
      <c r="AB172" s="41"/>
    </row>
    <row r="173" spans="2:28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  <c r="U173" s="2"/>
      <c r="V173" s="2"/>
      <c r="W173" s="2"/>
      <c r="X173" s="2"/>
      <c r="Y173" s="2"/>
      <c r="Z173" s="2"/>
      <c r="AA173" s="2"/>
      <c r="AB173" s="41"/>
    </row>
    <row r="174" spans="2:28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  <c r="U174" s="2"/>
      <c r="V174" s="2"/>
      <c r="W174" s="2"/>
      <c r="X174" s="2"/>
      <c r="Y174" s="2"/>
      <c r="Z174" s="2"/>
      <c r="AA174" s="2"/>
      <c r="AB174" s="40"/>
    </row>
    <row r="175" spans="2:28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  <c r="U175" s="2"/>
      <c r="V175" s="2"/>
      <c r="W175" s="2"/>
      <c r="X175" s="2"/>
      <c r="Y175" s="2"/>
      <c r="Z175" s="2"/>
      <c r="AA175" s="2"/>
      <c r="AB175" s="40"/>
    </row>
    <row r="176" spans="2:28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  <c r="U176" s="2"/>
      <c r="V176" s="2"/>
      <c r="W176" s="2"/>
      <c r="X176" s="2"/>
      <c r="Y176" s="2"/>
      <c r="Z176" s="2"/>
      <c r="AA176" s="2"/>
      <c r="AB176" s="40"/>
    </row>
    <row r="177" spans="2:28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  <c r="U177" s="2"/>
      <c r="V177" s="2"/>
      <c r="W177" s="2"/>
      <c r="X177" s="2"/>
      <c r="Y177" s="2"/>
      <c r="Z177" s="2"/>
      <c r="AA177" s="2"/>
      <c r="AB177" s="40"/>
    </row>
    <row r="178" spans="2:28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  <c r="U178" s="2"/>
      <c r="V178" s="2"/>
      <c r="W178" s="2"/>
      <c r="X178" s="2"/>
      <c r="Y178" s="2"/>
      <c r="Z178" s="2"/>
      <c r="AA178" s="2"/>
      <c r="AB178" s="41"/>
    </row>
    <row r="179" spans="2:28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  <c r="U179" s="2"/>
      <c r="V179" s="2"/>
      <c r="W179" s="2"/>
      <c r="X179" s="2"/>
      <c r="Y179" s="2"/>
      <c r="Z179" s="2"/>
      <c r="AA179" s="2"/>
      <c r="AB179" s="40"/>
    </row>
    <row r="180" spans="2:28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  <c r="U180" s="2"/>
      <c r="V180" s="2"/>
      <c r="W180" s="2"/>
      <c r="X180" s="2"/>
      <c r="Y180" s="2"/>
      <c r="Z180" s="2"/>
      <c r="AA180" s="2"/>
      <c r="AB180" s="40"/>
    </row>
    <row r="181" spans="2:28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  <c r="U181" s="2"/>
      <c r="V181" s="2"/>
      <c r="W181" s="2"/>
      <c r="X181" s="2"/>
      <c r="Y181" s="2"/>
      <c r="Z181" s="2"/>
      <c r="AA181" s="2"/>
      <c r="AB181" s="41"/>
    </row>
    <row r="182" spans="2:28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  <c r="U182" s="2"/>
      <c r="V182" s="2"/>
      <c r="W182" s="2"/>
      <c r="X182" s="2"/>
      <c r="Y182" s="2"/>
      <c r="Z182" s="2"/>
      <c r="AA182" s="2"/>
      <c r="AB182" s="40"/>
    </row>
    <row r="183" spans="2:28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  <c r="U183" s="2"/>
      <c r="V183" s="2"/>
      <c r="W183" s="2"/>
      <c r="X183" s="2"/>
      <c r="Y183" s="2"/>
      <c r="Z183" s="2"/>
      <c r="AA183" s="2"/>
      <c r="AB183" s="41"/>
    </row>
    <row r="184" spans="2:28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  <c r="U184" s="2"/>
      <c r="V184" s="2"/>
      <c r="W184" s="2"/>
      <c r="X184" s="2"/>
      <c r="Y184" s="2"/>
      <c r="Z184" s="2"/>
      <c r="AA184" s="2"/>
      <c r="AB184" s="41"/>
    </row>
    <row r="185" spans="2:28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  <c r="U185" s="2"/>
      <c r="V185" s="2"/>
      <c r="W185" s="2"/>
      <c r="X185" s="2"/>
      <c r="Y185" s="2"/>
      <c r="Z185" s="2"/>
      <c r="AA185" s="2"/>
      <c r="AB185" s="40"/>
    </row>
    <row r="186" spans="2:28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  <c r="U186" s="2"/>
      <c r="V186" s="2"/>
      <c r="W186" s="2"/>
      <c r="X186" s="2"/>
      <c r="Y186" s="2"/>
      <c r="Z186" s="2"/>
      <c r="AA186" s="2"/>
      <c r="AB186" s="40"/>
    </row>
    <row r="187" spans="2:28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  <c r="U187" s="2"/>
      <c r="V187" s="2"/>
      <c r="W187" s="2"/>
      <c r="X187" s="2"/>
      <c r="Y187" s="2"/>
      <c r="Z187" s="2"/>
      <c r="AA187" s="2"/>
      <c r="AB187" s="40"/>
    </row>
    <row r="188" spans="2:28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  <c r="U188" s="2"/>
      <c r="V188" s="2"/>
      <c r="W188" s="2"/>
      <c r="X188" s="2"/>
      <c r="Y188" s="2"/>
      <c r="Z188" s="2"/>
      <c r="AA188" s="2"/>
      <c r="AB188" s="40"/>
    </row>
    <row r="189" spans="2:28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  <c r="U189" s="2"/>
      <c r="V189" s="2"/>
      <c r="W189" s="2"/>
      <c r="X189" s="2"/>
      <c r="Y189" s="2"/>
      <c r="Z189" s="2"/>
      <c r="AA189" s="2"/>
      <c r="AB189" s="41"/>
    </row>
    <row r="190" spans="2:28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  <c r="U190" s="2"/>
      <c r="V190" s="2"/>
      <c r="W190" s="2"/>
      <c r="X190" s="2"/>
      <c r="Y190" s="2"/>
      <c r="Z190" s="2"/>
      <c r="AA190" s="2"/>
      <c r="AB190" s="41"/>
    </row>
    <row r="191" spans="2:28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  <c r="U191" s="2"/>
      <c r="V191" s="2"/>
      <c r="W191" s="2"/>
      <c r="X191" s="2"/>
      <c r="Y191" s="2"/>
      <c r="Z191" s="2"/>
      <c r="AA191" s="2"/>
      <c r="AB191" s="41"/>
    </row>
    <row r="192" spans="2:28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  <c r="U192" s="2"/>
      <c r="V192" s="2"/>
      <c r="W192" s="2"/>
      <c r="X192" s="2"/>
      <c r="Y192" s="2"/>
      <c r="Z192" s="2"/>
      <c r="AA192" s="2"/>
      <c r="AB192" s="41"/>
    </row>
    <row r="193" spans="2:28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  <c r="U193" s="2"/>
      <c r="V193" s="2"/>
      <c r="W193" s="2"/>
      <c r="X193" s="2"/>
      <c r="Y193" s="2"/>
      <c r="Z193" s="2"/>
      <c r="AA193" s="2"/>
      <c r="AB193" s="40"/>
    </row>
    <row r="194" spans="2:28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  <c r="U194" s="2"/>
      <c r="V194" s="2"/>
      <c r="W194" s="2"/>
      <c r="X194" s="2"/>
      <c r="Y194" s="2"/>
      <c r="Z194" s="2"/>
      <c r="AA194" s="2"/>
      <c r="AB194" s="40"/>
    </row>
    <row r="195" spans="2:28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  <c r="U195" s="2"/>
      <c r="V195" s="2"/>
      <c r="W195" s="2"/>
      <c r="X195" s="2"/>
      <c r="Y195" s="2"/>
      <c r="Z195" s="2"/>
      <c r="AA195" s="2"/>
      <c r="AB195" s="40"/>
    </row>
    <row r="196" spans="2:28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  <c r="U196" s="2"/>
      <c r="V196" s="2"/>
      <c r="W196" s="2"/>
      <c r="X196" s="2"/>
      <c r="Y196" s="2"/>
      <c r="Z196" s="2"/>
      <c r="AA196" s="2"/>
      <c r="AB196" s="41"/>
    </row>
    <row r="197" spans="2:28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  <c r="U197" s="2"/>
      <c r="V197" s="2"/>
      <c r="W197" s="2"/>
      <c r="X197" s="2"/>
      <c r="Y197" s="2"/>
      <c r="Z197" s="2"/>
      <c r="AA197" s="2"/>
      <c r="AB197" s="40"/>
    </row>
    <row r="198" spans="2:28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  <c r="U198" s="2"/>
      <c r="V198" s="2"/>
      <c r="W198" s="2"/>
      <c r="X198" s="2"/>
      <c r="Y198" s="2"/>
      <c r="Z198" s="2"/>
      <c r="AA198" s="2"/>
      <c r="AB198" s="40"/>
    </row>
    <row r="199" spans="2:28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  <c r="U199" s="2"/>
      <c r="V199" s="2"/>
      <c r="W199" s="2"/>
      <c r="X199" s="2"/>
      <c r="Y199" s="2"/>
      <c r="Z199" s="2"/>
      <c r="AA199" s="2"/>
      <c r="AB199" s="40"/>
    </row>
    <row r="200" spans="2:28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  <c r="U200" s="2"/>
      <c r="V200" s="2"/>
      <c r="W200" s="2"/>
      <c r="X200" s="2"/>
      <c r="Y200" s="2"/>
      <c r="Z200" s="2"/>
      <c r="AA200" s="2"/>
      <c r="AB200" s="41"/>
    </row>
    <row r="201" spans="2:28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  <c r="U201" s="2"/>
      <c r="V201" s="2"/>
      <c r="W201" s="2"/>
      <c r="X201" s="2"/>
      <c r="Y201" s="2"/>
      <c r="Z201" s="2"/>
      <c r="AA201" s="2"/>
      <c r="AB201" s="40"/>
    </row>
    <row r="202" spans="2:28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  <c r="U202" s="2"/>
      <c r="V202" s="2"/>
      <c r="W202" s="2"/>
      <c r="X202" s="2"/>
      <c r="Y202" s="2"/>
      <c r="Z202" s="2"/>
      <c r="AA202" s="2"/>
      <c r="AB202" s="40"/>
    </row>
    <row r="203" spans="2:28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  <c r="U203" s="2"/>
      <c r="V203" s="2"/>
      <c r="W203" s="2"/>
      <c r="X203" s="2"/>
      <c r="Y203" s="2"/>
      <c r="Z203" s="2"/>
      <c r="AA203" s="2"/>
      <c r="AB203" s="40"/>
    </row>
    <row r="204" spans="2:28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  <c r="U204" s="2"/>
      <c r="V204" s="2"/>
      <c r="W204" s="2"/>
      <c r="X204" s="2"/>
      <c r="Y204" s="2"/>
      <c r="Z204" s="2"/>
      <c r="AA204" s="2"/>
      <c r="AB204" s="40"/>
    </row>
    <row r="205" spans="2:28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  <c r="U205" s="2"/>
      <c r="V205" s="2"/>
      <c r="W205" s="2"/>
      <c r="X205" s="2"/>
      <c r="Y205" s="2"/>
      <c r="Z205" s="2"/>
      <c r="AA205" s="2"/>
      <c r="AB205" s="41"/>
    </row>
    <row r="206" spans="2:28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  <c r="U206" s="2"/>
      <c r="V206" s="2"/>
      <c r="W206" s="2"/>
      <c r="X206" s="2"/>
      <c r="Y206" s="2"/>
      <c r="Z206" s="2"/>
      <c r="AA206" s="2"/>
      <c r="AB206" s="40"/>
    </row>
    <row r="207" spans="2:28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  <c r="U207" s="2"/>
      <c r="V207" s="2"/>
      <c r="W207" s="2"/>
      <c r="X207" s="2"/>
      <c r="Y207" s="2"/>
      <c r="Z207" s="2"/>
      <c r="AA207" s="2"/>
      <c r="AB207" s="41"/>
    </row>
    <row r="208" spans="2:28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  <c r="U208" s="2"/>
      <c r="V208" s="2"/>
      <c r="W208" s="2"/>
      <c r="X208" s="2"/>
      <c r="Y208" s="2"/>
      <c r="Z208" s="2"/>
      <c r="AA208" s="2"/>
      <c r="AB208" s="40"/>
    </row>
    <row r="209" spans="2:28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  <c r="U209" s="2"/>
      <c r="V209" s="2"/>
      <c r="W209" s="2"/>
      <c r="X209" s="2"/>
      <c r="Y209" s="2"/>
      <c r="Z209" s="2"/>
      <c r="AA209" s="2"/>
      <c r="AB209" s="41"/>
    </row>
    <row r="210" spans="2:28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  <c r="U210" s="2"/>
      <c r="V210" s="2"/>
      <c r="W210" s="2"/>
      <c r="X210" s="2"/>
      <c r="Y210" s="2"/>
      <c r="Z210" s="2"/>
      <c r="AA210" s="2"/>
      <c r="AB210" s="40"/>
    </row>
    <row r="211" spans="2:28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  <c r="U211" s="2"/>
      <c r="V211" s="2"/>
      <c r="W211" s="2"/>
      <c r="X211" s="2"/>
      <c r="Y211" s="2"/>
      <c r="Z211" s="2"/>
      <c r="AA211" s="2"/>
      <c r="AB211" s="40"/>
    </row>
    <row r="212" spans="2:28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  <c r="U212" s="2"/>
      <c r="V212" s="2"/>
      <c r="W212" s="2"/>
      <c r="X212" s="2"/>
      <c r="Y212" s="2"/>
      <c r="Z212" s="2"/>
      <c r="AA212" s="2"/>
      <c r="AB212" s="40"/>
    </row>
    <row r="213" spans="2:28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  <c r="U213" s="2"/>
      <c r="V213" s="2"/>
      <c r="W213" s="2"/>
      <c r="X213" s="2"/>
      <c r="Y213" s="2"/>
      <c r="Z213" s="2"/>
      <c r="AA213" s="2"/>
      <c r="AB213" s="40"/>
    </row>
    <row r="214" spans="2:28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  <c r="U214" s="2"/>
      <c r="V214" s="2"/>
      <c r="W214" s="2"/>
      <c r="X214" s="2"/>
      <c r="Y214" s="2"/>
      <c r="Z214" s="2"/>
      <c r="AA214" s="2"/>
      <c r="AB214" s="40"/>
    </row>
    <row r="215" spans="2:28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  <c r="U215" s="2"/>
      <c r="V215" s="2"/>
      <c r="W215" s="2"/>
      <c r="X215" s="2"/>
      <c r="Y215" s="2"/>
      <c r="Z215" s="2"/>
      <c r="AA215" s="2"/>
      <c r="AB215" s="40"/>
    </row>
    <row r="216" spans="2:28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  <c r="U216" s="2"/>
      <c r="V216" s="2"/>
      <c r="W216" s="2"/>
      <c r="X216" s="2"/>
      <c r="Y216" s="2"/>
      <c r="Z216" s="2"/>
      <c r="AA216" s="2"/>
      <c r="AB216" s="41"/>
    </row>
    <row r="217" spans="2:28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  <c r="U217" s="2"/>
      <c r="V217" s="2"/>
      <c r="W217" s="2"/>
      <c r="X217" s="2"/>
      <c r="Y217" s="2"/>
      <c r="Z217" s="2"/>
      <c r="AA217" s="2"/>
      <c r="AB217" s="41"/>
    </row>
    <row r="218" spans="2:28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  <c r="U218" s="2"/>
      <c r="V218" s="2"/>
      <c r="W218" s="2"/>
      <c r="X218" s="2"/>
      <c r="Y218" s="2"/>
      <c r="Z218" s="2"/>
      <c r="AA218" s="2"/>
      <c r="AB218" s="40"/>
    </row>
    <row r="219" spans="2:28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  <c r="U219" s="2"/>
      <c r="V219" s="2"/>
      <c r="W219" s="2"/>
      <c r="X219" s="2"/>
      <c r="Y219" s="2"/>
      <c r="Z219" s="2"/>
      <c r="AA219" s="2"/>
      <c r="AB219" s="41"/>
    </row>
    <row r="220" spans="2:28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  <c r="U220" s="2"/>
      <c r="V220" s="2"/>
      <c r="W220" s="2"/>
      <c r="X220" s="2"/>
      <c r="Y220" s="2"/>
      <c r="Z220" s="2"/>
      <c r="AA220" s="2"/>
      <c r="AB220" s="41"/>
    </row>
    <row r="221" spans="2:28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  <c r="U221" s="2"/>
      <c r="V221" s="2"/>
      <c r="W221" s="2"/>
      <c r="X221" s="2"/>
      <c r="Y221" s="2"/>
      <c r="Z221" s="2"/>
      <c r="AA221" s="2"/>
      <c r="AB221" s="40"/>
    </row>
    <row r="222" spans="2:28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  <c r="U222" s="2"/>
      <c r="V222" s="2"/>
      <c r="W222" s="2"/>
      <c r="X222" s="2"/>
      <c r="Y222" s="2"/>
      <c r="Z222" s="2"/>
      <c r="AA222" s="2"/>
      <c r="AB222" s="41"/>
    </row>
    <row r="223" spans="2:28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  <c r="U223" s="2"/>
      <c r="V223" s="2"/>
      <c r="W223" s="2"/>
      <c r="X223" s="2"/>
      <c r="Y223" s="2"/>
      <c r="Z223" s="2"/>
      <c r="AA223" s="2"/>
      <c r="AB223" s="41"/>
    </row>
    <row r="224" spans="2:28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  <c r="U224" s="2"/>
      <c r="V224" s="2"/>
      <c r="W224" s="2"/>
      <c r="X224" s="2"/>
      <c r="Y224" s="2"/>
      <c r="Z224" s="2"/>
      <c r="AA224" s="2"/>
      <c r="AB224" s="40"/>
    </row>
    <row r="225" spans="2:28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  <c r="U225" s="2"/>
      <c r="V225" s="2"/>
      <c r="W225" s="2"/>
      <c r="X225" s="2"/>
      <c r="Y225" s="2"/>
      <c r="Z225" s="2"/>
      <c r="AA225" s="2"/>
      <c r="AB225" s="41"/>
    </row>
    <row r="226" spans="2:28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  <c r="U226" s="2"/>
      <c r="V226" s="2"/>
      <c r="W226" s="2"/>
      <c r="X226" s="2"/>
      <c r="Y226" s="2"/>
      <c r="Z226" s="2"/>
      <c r="AA226" s="2"/>
      <c r="AB226" s="40"/>
    </row>
    <row r="227" spans="2:28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  <c r="U227" s="2"/>
      <c r="V227" s="2"/>
      <c r="W227" s="2"/>
      <c r="X227" s="2"/>
      <c r="Y227" s="2"/>
      <c r="Z227" s="2"/>
      <c r="AA227" s="2"/>
      <c r="AB227" s="40"/>
    </row>
    <row r="228" spans="2:28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  <c r="U228" s="2"/>
      <c r="V228" s="2"/>
      <c r="W228" s="2"/>
      <c r="X228" s="2"/>
      <c r="Y228" s="2"/>
      <c r="Z228" s="2"/>
      <c r="AA228" s="2"/>
      <c r="AB228" s="40"/>
    </row>
    <row r="229" spans="2:28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  <c r="U229" s="2"/>
      <c r="V229" s="2"/>
      <c r="W229" s="2"/>
      <c r="X229" s="2"/>
      <c r="Y229" s="2"/>
      <c r="Z229" s="2"/>
      <c r="AA229" s="2"/>
      <c r="AB229" s="40"/>
    </row>
    <row r="230" spans="2:28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  <c r="U230" s="2"/>
      <c r="V230" s="2"/>
      <c r="W230" s="2"/>
      <c r="X230" s="2"/>
      <c r="Y230" s="2"/>
      <c r="Z230" s="2"/>
      <c r="AA230" s="2"/>
      <c r="AB230" s="40"/>
    </row>
    <row r="231" spans="2:28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  <c r="U231" s="2"/>
      <c r="V231" s="2"/>
      <c r="W231" s="2"/>
      <c r="X231" s="2"/>
      <c r="Y231" s="2"/>
      <c r="Z231" s="2"/>
      <c r="AA231" s="2"/>
      <c r="AB231" s="40"/>
    </row>
    <row r="232" spans="2:28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  <c r="U232" s="2"/>
      <c r="V232" s="2"/>
      <c r="W232" s="2"/>
      <c r="X232" s="2"/>
      <c r="Y232" s="2"/>
      <c r="Z232" s="2"/>
      <c r="AA232" s="2"/>
      <c r="AB232" s="40"/>
    </row>
    <row r="233" spans="2:28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  <c r="U233" s="2"/>
      <c r="V233" s="2"/>
      <c r="W233" s="2"/>
      <c r="X233" s="2"/>
      <c r="Y233" s="2"/>
      <c r="Z233" s="2"/>
      <c r="AA233" s="2"/>
      <c r="AB233" s="41"/>
    </row>
    <row r="234" spans="2:28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  <c r="U234" s="2"/>
      <c r="V234" s="2"/>
      <c r="W234" s="2"/>
      <c r="X234" s="2"/>
      <c r="Y234" s="2"/>
      <c r="Z234" s="2"/>
      <c r="AA234" s="2"/>
      <c r="AB234" s="40"/>
    </row>
    <row r="235" spans="2:28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  <c r="U235" s="2"/>
      <c r="V235" s="2"/>
      <c r="W235" s="2"/>
      <c r="X235" s="2"/>
      <c r="Y235" s="2"/>
      <c r="Z235" s="2"/>
      <c r="AA235" s="2"/>
      <c r="AB235" s="41"/>
    </row>
    <row r="236" spans="2:28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  <c r="U236" s="2"/>
      <c r="V236" s="2"/>
      <c r="W236" s="2"/>
      <c r="X236" s="2"/>
      <c r="Y236" s="2"/>
      <c r="Z236" s="2"/>
      <c r="AA236" s="2"/>
      <c r="AB236" s="40"/>
    </row>
    <row r="237" spans="2:28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  <c r="U237" s="2"/>
      <c r="V237" s="2"/>
      <c r="W237" s="2"/>
      <c r="X237" s="2"/>
      <c r="Y237" s="2"/>
      <c r="Z237" s="2"/>
      <c r="AA237" s="2"/>
      <c r="AB237" s="40"/>
    </row>
    <row r="238" spans="2:28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  <c r="U238" s="2"/>
      <c r="V238" s="2"/>
      <c r="W238" s="2"/>
      <c r="X238" s="2"/>
      <c r="Y238" s="2"/>
      <c r="Z238" s="2"/>
      <c r="AA238" s="2"/>
      <c r="AB238" s="40"/>
    </row>
    <row r="239" spans="2:28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  <c r="U239" s="2"/>
      <c r="V239" s="2"/>
      <c r="W239" s="2"/>
      <c r="X239" s="2"/>
      <c r="Y239" s="2"/>
      <c r="Z239" s="2"/>
      <c r="AA239" s="2"/>
      <c r="AB239" s="41"/>
    </row>
    <row r="240" spans="2:28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  <c r="U240" s="2"/>
      <c r="V240" s="2"/>
      <c r="W240" s="2"/>
      <c r="X240" s="2"/>
      <c r="Y240" s="2"/>
      <c r="Z240" s="2"/>
      <c r="AA240" s="2"/>
      <c r="AB240" s="40"/>
    </row>
    <row r="241" spans="2:28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  <c r="U241" s="2"/>
      <c r="V241" s="2"/>
      <c r="W241" s="2"/>
      <c r="X241" s="2"/>
      <c r="Y241" s="2"/>
      <c r="Z241" s="2"/>
      <c r="AA241" s="2"/>
      <c r="AB241" s="40"/>
    </row>
    <row r="242" spans="2:28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  <c r="U242" s="2"/>
      <c r="V242" s="2"/>
      <c r="W242" s="2"/>
      <c r="X242" s="2"/>
      <c r="Y242" s="2"/>
      <c r="Z242" s="2"/>
      <c r="AA242" s="2"/>
      <c r="AB242" s="41"/>
    </row>
    <row r="243" spans="2:28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  <c r="U243" s="2"/>
      <c r="V243" s="2"/>
      <c r="W243" s="2"/>
      <c r="X243" s="2"/>
      <c r="Y243" s="2"/>
      <c r="Z243" s="2"/>
      <c r="AA243" s="2"/>
      <c r="AB243" s="40"/>
    </row>
    <row r="244" spans="2:28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  <c r="U244" s="2"/>
      <c r="V244" s="2"/>
      <c r="W244" s="2"/>
      <c r="X244" s="2"/>
      <c r="Y244" s="2"/>
      <c r="Z244" s="2"/>
      <c r="AA244" s="2"/>
      <c r="AB244" s="41"/>
    </row>
    <row r="245" spans="2:28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  <c r="U245" s="2"/>
      <c r="V245" s="2"/>
      <c r="W245" s="2"/>
      <c r="X245" s="2"/>
      <c r="Y245" s="2"/>
      <c r="Z245" s="2"/>
      <c r="AA245" s="2"/>
      <c r="AB245" s="40"/>
    </row>
    <row r="246" spans="2:28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  <c r="U246" s="2"/>
      <c r="V246" s="2"/>
      <c r="W246" s="2"/>
      <c r="X246" s="2"/>
      <c r="Y246" s="2"/>
      <c r="Z246" s="2"/>
      <c r="AA246" s="2"/>
      <c r="AB246" s="41"/>
    </row>
    <row r="247" spans="2:28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  <c r="U247" s="2"/>
      <c r="V247" s="2"/>
      <c r="W247" s="2"/>
      <c r="X247" s="2"/>
      <c r="Y247" s="2"/>
      <c r="Z247" s="2"/>
      <c r="AA247" s="2"/>
      <c r="AB247" s="40"/>
    </row>
    <row r="248" spans="2:28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  <c r="U248" s="2"/>
      <c r="V248" s="2"/>
      <c r="W248" s="2"/>
      <c r="X248" s="2"/>
      <c r="Y248" s="2"/>
      <c r="Z248" s="2"/>
      <c r="AA248" s="2"/>
      <c r="AB248" s="41"/>
    </row>
    <row r="249" spans="2:28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  <c r="U249" s="2"/>
      <c r="V249" s="2"/>
      <c r="W249" s="2"/>
      <c r="X249" s="2"/>
      <c r="Y249" s="2"/>
      <c r="Z249" s="2"/>
      <c r="AA249" s="2"/>
      <c r="AB249" s="41"/>
    </row>
    <row r="250" spans="2:28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  <c r="U250" s="2"/>
      <c r="V250" s="2"/>
      <c r="W250" s="2"/>
      <c r="X250" s="2"/>
      <c r="Y250" s="2"/>
      <c r="Z250" s="2"/>
      <c r="AA250" s="2"/>
      <c r="AB250" s="40"/>
    </row>
    <row r="251" spans="2:28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  <c r="U251" s="2"/>
      <c r="V251" s="2"/>
      <c r="W251" s="2"/>
      <c r="X251" s="2"/>
      <c r="Y251" s="2"/>
      <c r="Z251" s="2"/>
      <c r="AA251" s="2"/>
      <c r="AB251" s="40"/>
    </row>
    <row r="252" spans="2:28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  <c r="U252" s="2"/>
      <c r="V252" s="2"/>
      <c r="W252" s="2"/>
      <c r="X252" s="2"/>
      <c r="Y252" s="2"/>
      <c r="Z252" s="2"/>
      <c r="AA252" s="2"/>
      <c r="AB252" s="40"/>
    </row>
    <row r="253" spans="2:28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  <c r="U253" s="2"/>
      <c r="V253" s="2"/>
      <c r="W253" s="2"/>
      <c r="X253" s="2"/>
      <c r="Y253" s="2"/>
      <c r="Z253" s="2"/>
      <c r="AA253" s="2"/>
      <c r="AB253" s="40"/>
    </row>
    <row r="254" spans="2:28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  <c r="U254" s="2"/>
      <c r="V254" s="2"/>
      <c r="W254" s="2"/>
      <c r="X254" s="2"/>
      <c r="Y254" s="2"/>
      <c r="Z254" s="2"/>
      <c r="AA254" s="2"/>
      <c r="AB254" s="41"/>
    </row>
    <row r="255" spans="2:28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  <c r="U255" s="2"/>
      <c r="V255" s="2"/>
      <c r="W255" s="2"/>
      <c r="X255" s="2"/>
      <c r="Y255" s="2"/>
      <c r="Z255" s="2"/>
      <c r="AA255" s="2"/>
      <c r="AB255" s="40"/>
    </row>
    <row r="256" spans="2:28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  <c r="U256" s="2"/>
      <c r="V256" s="2"/>
      <c r="W256" s="2"/>
      <c r="X256" s="2"/>
      <c r="Y256" s="2"/>
      <c r="Z256" s="2"/>
      <c r="AA256" s="2"/>
      <c r="AB256" s="41"/>
    </row>
    <row r="257" spans="2:28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  <c r="U257" s="2"/>
      <c r="V257" s="2"/>
      <c r="W257" s="2"/>
      <c r="X257" s="2"/>
      <c r="Y257" s="2"/>
      <c r="Z257" s="2"/>
      <c r="AA257" s="2"/>
      <c r="AB257" s="40"/>
    </row>
    <row r="258" spans="2:28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  <c r="U258" s="2"/>
      <c r="V258" s="2"/>
      <c r="W258" s="2"/>
      <c r="X258" s="2"/>
      <c r="Y258" s="2"/>
      <c r="Z258" s="2"/>
      <c r="AA258" s="2"/>
      <c r="AB258" s="41"/>
    </row>
    <row r="259" spans="2:28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  <c r="U259" s="2"/>
      <c r="V259" s="2"/>
      <c r="W259" s="2"/>
      <c r="X259" s="2"/>
      <c r="Y259" s="2"/>
      <c r="Z259" s="2"/>
      <c r="AA259" s="2"/>
      <c r="AB259" s="40"/>
    </row>
    <row r="260" spans="2:28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  <c r="U260" s="2"/>
      <c r="V260" s="2"/>
      <c r="W260" s="2"/>
      <c r="X260" s="2"/>
      <c r="Y260" s="2"/>
      <c r="Z260" s="2"/>
      <c r="AA260" s="2"/>
      <c r="AB260" s="41"/>
    </row>
    <row r="261" spans="2:28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  <c r="U261" s="2"/>
      <c r="V261" s="2"/>
      <c r="W261" s="2"/>
      <c r="X261" s="2"/>
      <c r="Y261" s="2"/>
      <c r="Z261" s="2"/>
      <c r="AA261" s="2"/>
      <c r="AB261" s="40"/>
    </row>
    <row r="262" spans="2:28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  <c r="U262" s="2"/>
      <c r="V262" s="2"/>
      <c r="W262" s="2"/>
      <c r="X262" s="2"/>
      <c r="Y262" s="2"/>
      <c r="Z262" s="2"/>
      <c r="AA262" s="2"/>
      <c r="AB262" s="40"/>
    </row>
    <row r="263" spans="2:28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  <c r="U263" s="2"/>
      <c r="V263" s="2"/>
      <c r="W263" s="2"/>
      <c r="X263" s="2"/>
      <c r="Y263" s="2"/>
      <c r="Z263" s="2"/>
      <c r="AA263" s="2"/>
      <c r="AB263" s="40"/>
    </row>
    <row r="264" spans="2:28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  <c r="U264" s="2"/>
      <c r="V264" s="2"/>
      <c r="W264" s="2"/>
      <c r="X264" s="2"/>
      <c r="Y264" s="2"/>
      <c r="Z264" s="2"/>
      <c r="AA264" s="2"/>
      <c r="AB264" s="41"/>
    </row>
    <row r="265" spans="2:28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  <c r="U265" s="2"/>
      <c r="V265" s="2"/>
      <c r="W265" s="2"/>
      <c r="X265" s="2"/>
      <c r="Y265" s="2"/>
      <c r="Z265" s="2"/>
      <c r="AA265" s="2"/>
      <c r="AB265" s="41"/>
    </row>
    <row r="266" spans="2:28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  <c r="U266" s="2"/>
      <c r="V266" s="2"/>
      <c r="W266" s="2"/>
      <c r="X266" s="2"/>
      <c r="Y266" s="2"/>
      <c r="Z266" s="2"/>
      <c r="AA266" s="2"/>
      <c r="AB266" s="40"/>
    </row>
    <row r="267" spans="2:28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  <c r="U267" s="2"/>
      <c r="V267" s="2"/>
      <c r="W267" s="2"/>
      <c r="X267" s="2"/>
      <c r="Y267" s="2"/>
      <c r="Z267" s="2"/>
      <c r="AA267" s="2"/>
      <c r="AB267" s="40"/>
    </row>
    <row r="268" spans="2:28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  <c r="U268" s="2"/>
      <c r="V268" s="2"/>
      <c r="W268" s="2"/>
      <c r="X268" s="2"/>
      <c r="Y268" s="2"/>
      <c r="Z268" s="2"/>
      <c r="AA268" s="2"/>
      <c r="AB268" s="40"/>
    </row>
    <row r="269" spans="2:28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  <c r="U269" s="2"/>
      <c r="V269" s="2"/>
      <c r="W269" s="2"/>
      <c r="X269" s="2"/>
      <c r="Y269" s="2"/>
      <c r="Z269" s="2"/>
      <c r="AA269" s="2"/>
      <c r="AB269" s="40"/>
    </row>
    <row r="270" spans="2:28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  <c r="U270" s="2"/>
      <c r="V270" s="2"/>
      <c r="W270" s="2"/>
      <c r="X270" s="2"/>
      <c r="Y270" s="2"/>
      <c r="Z270" s="2"/>
      <c r="AA270" s="2"/>
      <c r="AB270" s="41"/>
    </row>
    <row r="271" spans="2:28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  <c r="U271" s="2"/>
      <c r="V271" s="2"/>
      <c r="W271" s="2"/>
      <c r="X271" s="2"/>
      <c r="Y271" s="2"/>
      <c r="Z271" s="2"/>
      <c r="AA271" s="2"/>
      <c r="AB271" s="40"/>
    </row>
    <row r="272" spans="2:28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  <c r="U272" s="2"/>
      <c r="V272" s="2"/>
      <c r="W272" s="2"/>
      <c r="X272" s="2"/>
      <c r="Y272" s="2"/>
      <c r="Z272" s="2"/>
      <c r="AA272" s="2"/>
      <c r="AB272" s="41"/>
    </row>
    <row r="273" spans="2:28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  <c r="U273" s="2"/>
      <c r="V273" s="2"/>
      <c r="W273" s="2"/>
      <c r="X273" s="2"/>
      <c r="Y273" s="2"/>
      <c r="Z273" s="2"/>
      <c r="AA273" s="2"/>
      <c r="AB273" s="41"/>
    </row>
    <row r="274" spans="2:28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  <c r="U274" s="2"/>
      <c r="V274" s="2"/>
      <c r="W274" s="2"/>
      <c r="X274" s="2"/>
      <c r="Y274" s="2"/>
      <c r="Z274" s="2"/>
      <c r="AA274" s="2"/>
      <c r="AB274" s="40"/>
    </row>
    <row r="275" spans="2:28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  <c r="U275" s="2"/>
      <c r="V275" s="2"/>
      <c r="W275" s="2"/>
      <c r="X275" s="2"/>
      <c r="Y275" s="2"/>
      <c r="Z275" s="2"/>
      <c r="AA275" s="2"/>
      <c r="AB275" s="41"/>
    </row>
    <row r="276" spans="2:28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  <c r="U276" s="2"/>
      <c r="V276" s="2"/>
      <c r="W276" s="2"/>
      <c r="X276" s="2"/>
      <c r="Y276" s="2"/>
      <c r="Z276" s="2"/>
      <c r="AA276" s="2"/>
      <c r="AB276" s="41"/>
    </row>
    <row r="277" spans="2:28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  <c r="U277" s="2"/>
      <c r="V277" s="2"/>
      <c r="W277" s="2"/>
      <c r="X277" s="2"/>
      <c r="Y277" s="2"/>
      <c r="Z277" s="2"/>
      <c r="AA277" s="2"/>
      <c r="AB277" s="40"/>
    </row>
    <row r="278" spans="2:28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  <c r="U278" s="2"/>
      <c r="V278" s="2"/>
      <c r="W278" s="2"/>
      <c r="X278" s="2"/>
      <c r="Y278" s="2"/>
      <c r="Z278" s="2"/>
      <c r="AA278" s="2"/>
      <c r="AB278" s="41"/>
    </row>
    <row r="279" spans="2:28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  <c r="U279" s="2"/>
      <c r="V279" s="2"/>
      <c r="W279" s="2"/>
      <c r="X279" s="2"/>
      <c r="Y279" s="2"/>
      <c r="Z279" s="2"/>
      <c r="AA279" s="2"/>
      <c r="AB279" s="41"/>
    </row>
    <row r="280" spans="2:28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  <c r="U280" s="2"/>
      <c r="V280" s="2"/>
      <c r="W280" s="2"/>
      <c r="X280" s="2"/>
      <c r="Y280" s="2"/>
      <c r="Z280" s="2"/>
      <c r="AA280" s="2"/>
      <c r="AB280" s="41"/>
    </row>
    <row r="281" spans="2:28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  <c r="U281" s="2"/>
      <c r="V281" s="2"/>
      <c r="W281" s="2"/>
      <c r="X281" s="2"/>
      <c r="Y281" s="2"/>
      <c r="Z281" s="2"/>
      <c r="AA281" s="2"/>
      <c r="AB281" s="41"/>
    </row>
    <row r="282" spans="2:28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  <c r="U282" s="2"/>
      <c r="V282" s="2"/>
      <c r="W282" s="2"/>
      <c r="X282" s="2"/>
      <c r="Y282" s="2"/>
      <c r="Z282" s="2"/>
      <c r="AA282" s="2"/>
      <c r="AB282" s="41"/>
    </row>
    <row r="283" spans="2:28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  <c r="U283" s="2"/>
      <c r="V283" s="2"/>
      <c r="W283" s="2"/>
      <c r="X283" s="2"/>
      <c r="Y283" s="2"/>
      <c r="Z283" s="2"/>
      <c r="AA283" s="2"/>
      <c r="AB283" s="40"/>
    </row>
    <row r="284" spans="2:28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  <c r="U284" s="2"/>
      <c r="V284" s="2"/>
      <c r="W284" s="2"/>
      <c r="X284" s="2"/>
      <c r="Y284" s="2"/>
      <c r="Z284" s="2"/>
      <c r="AA284" s="2"/>
      <c r="AB284" s="41"/>
    </row>
    <row r="285" spans="2:28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  <c r="U285" s="2"/>
      <c r="V285" s="2"/>
      <c r="W285" s="2"/>
      <c r="X285" s="2"/>
      <c r="Y285" s="2"/>
      <c r="Z285" s="2"/>
      <c r="AA285" s="2"/>
      <c r="AB285" s="41"/>
    </row>
    <row r="286" spans="2:28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  <c r="U286" s="2"/>
      <c r="V286" s="2"/>
      <c r="W286" s="2"/>
      <c r="X286" s="2"/>
      <c r="Y286" s="2"/>
      <c r="Z286" s="2"/>
      <c r="AA286" s="2"/>
      <c r="AB286" s="41"/>
    </row>
    <row r="287" spans="2:28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  <c r="U287" s="2"/>
      <c r="V287" s="2"/>
      <c r="W287" s="2"/>
      <c r="X287" s="2"/>
      <c r="Y287" s="2"/>
      <c r="Z287" s="2"/>
      <c r="AA287" s="2"/>
      <c r="AB287" s="40"/>
    </row>
    <row r="288" spans="2:28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  <c r="U288" s="2"/>
      <c r="V288" s="2"/>
      <c r="W288" s="2"/>
      <c r="X288" s="2"/>
      <c r="Y288" s="2"/>
      <c r="Z288" s="2"/>
      <c r="AA288" s="2"/>
      <c r="AB288" s="41"/>
    </row>
    <row r="289" spans="2:28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  <c r="U289" s="2"/>
      <c r="V289" s="2"/>
      <c r="W289" s="2"/>
      <c r="X289" s="2"/>
      <c r="Y289" s="2"/>
      <c r="Z289" s="2"/>
      <c r="AA289" s="2"/>
      <c r="AB289" s="40"/>
    </row>
    <row r="290" spans="2:28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  <c r="U290" s="2"/>
      <c r="V290" s="2"/>
      <c r="W290" s="2"/>
      <c r="X290" s="2"/>
      <c r="Y290" s="2"/>
      <c r="Z290" s="2"/>
      <c r="AA290" s="2"/>
      <c r="AB290" s="41"/>
    </row>
    <row r="291" spans="2:28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  <c r="U291" s="2"/>
      <c r="V291" s="2"/>
      <c r="W291" s="2"/>
      <c r="X291" s="2"/>
      <c r="Y291" s="2"/>
      <c r="Z291" s="2"/>
      <c r="AA291" s="2"/>
      <c r="AB291" s="40"/>
    </row>
    <row r="292" spans="2:28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  <c r="U292" s="2"/>
      <c r="V292" s="2"/>
      <c r="W292" s="2"/>
      <c r="X292" s="2"/>
      <c r="Y292" s="2"/>
      <c r="Z292" s="2"/>
      <c r="AA292" s="2"/>
      <c r="AB292" s="41"/>
    </row>
    <row r="293" spans="2:28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  <c r="U293" s="2"/>
      <c r="V293" s="2"/>
      <c r="W293" s="2"/>
      <c r="X293" s="2"/>
      <c r="Y293" s="2"/>
      <c r="Z293" s="2"/>
      <c r="AA293" s="2"/>
      <c r="AB293" s="40"/>
    </row>
    <row r="294" spans="2:28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  <c r="U294" s="2"/>
      <c r="V294" s="2"/>
      <c r="W294" s="2"/>
      <c r="X294" s="2"/>
      <c r="Y294" s="2"/>
      <c r="Z294" s="2"/>
      <c r="AA294" s="2"/>
      <c r="AB294" s="40"/>
    </row>
    <row r="295" spans="2:28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  <c r="U295" s="2"/>
      <c r="V295" s="2"/>
      <c r="W295" s="2"/>
      <c r="X295" s="2"/>
      <c r="Y295" s="2"/>
      <c r="Z295" s="2"/>
      <c r="AA295" s="2"/>
      <c r="AB295" s="41"/>
    </row>
    <row r="296" spans="2:28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  <c r="U296" s="2"/>
      <c r="V296" s="2"/>
      <c r="W296" s="2"/>
      <c r="X296" s="2"/>
      <c r="Y296" s="2"/>
      <c r="Z296" s="2"/>
      <c r="AA296" s="2"/>
      <c r="AB296" s="41"/>
    </row>
    <row r="297" spans="2:28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  <c r="U297" s="2"/>
      <c r="V297" s="2"/>
      <c r="W297" s="2"/>
      <c r="X297" s="2"/>
      <c r="Y297" s="2"/>
      <c r="Z297" s="2"/>
      <c r="AA297" s="2"/>
      <c r="AB297" s="40"/>
    </row>
    <row r="298" spans="2:28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  <c r="U298" s="2"/>
      <c r="V298" s="2"/>
      <c r="W298" s="2"/>
      <c r="X298" s="2"/>
      <c r="Y298" s="2"/>
      <c r="Z298" s="2"/>
      <c r="AA298" s="2"/>
      <c r="AB298" s="40"/>
    </row>
    <row r="299" spans="2:28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  <c r="U299" s="2"/>
      <c r="V299" s="2"/>
      <c r="W299" s="2"/>
      <c r="X299" s="2"/>
      <c r="Y299" s="2"/>
      <c r="Z299" s="2"/>
      <c r="AA299" s="2"/>
      <c r="AB299" s="40"/>
    </row>
    <row r="300" spans="2:28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  <c r="U300" s="2"/>
      <c r="V300" s="2"/>
      <c r="W300" s="2"/>
      <c r="X300" s="2"/>
      <c r="Y300" s="2"/>
      <c r="Z300" s="2"/>
      <c r="AA300" s="2"/>
      <c r="AB300" s="40"/>
    </row>
    <row r="301" spans="2:28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  <c r="U301" s="2"/>
      <c r="V301" s="2"/>
      <c r="W301" s="2"/>
      <c r="X301" s="2"/>
      <c r="Y301" s="2"/>
      <c r="Z301" s="2"/>
      <c r="AA301" s="2"/>
      <c r="AB301" s="40"/>
    </row>
    <row r="302" spans="2:28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  <c r="U302" s="2"/>
      <c r="V302" s="2"/>
      <c r="W302" s="2"/>
      <c r="X302" s="2"/>
      <c r="Y302" s="2"/>
      <c r="Z302" s="2"/>
      <c r="AA302" s="2"/>
      <c r="AB302" s="41"/>
    </row>
    <row r="303" spans="2:28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  <c r="U303" s="2"/>
      <c r="V303" s="2"/>
      <c r="W303" s="2"/>
      <c r="X303" s="2"/>
      <c r="Y303" s="2"/>
      <c r="Z303" s="2"/>
      <c r="AA303" s="2"/>
      <c r="AB303" s="40"/>
    </row>
    <row r="304" spans="2:28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  <c r="U304" s="2"/>
      <c r="V304" s="2"/>
      <c r="W304" s="2"/>
      <c r="X304" s="2"/>
      <c r="Y304" s="2"/>
      <c r="Z304" s="2"/>
      <c r="AA304" s="2"/>
      <c r="AB304" s="41"/>
    </row>
    <row r="305" spans="2:28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  <c r="U305" s="2"/>
      <c r="V305" s="2"/>
      <c r="W305" s="2"/>
      <c r="X305" s="2"/>
      <c r="Y305" s="2"/>
      <c r="Z305" s="2"/>
      <c r="AA305" s="2"/>
      <c r="AB305" s="40"/>
    </row>
    <row r="306" spans="2:28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  <c r="U306" s="2"/>
      <c r="V306" s="2"/>
      <c r="W306" s="2"/>
      <c r="X306" s="2"/>
      <c r="Y306" s="2"/>
      <c r="Z306" s="2"/>
      <c r="AA306" s="2"/>
      <c r="AB306" s="40"/>
    </row>
    <row r="307" spans="2:28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  <c r="U307" s="2"/>
      <c r="V307" s="2"/>
      <c r="W307" s="2"/>
      <c r="X307" s="2"/>
      <c r="Y307" s="2"/>
      <c r="Z307" s="2"/>
      <c r="AA307" s="2"/>
      <c r="AB307" s="40"/>
    </row>
    <row r="308" spans="2:28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  <c r="U308" s="2"/>
      <c r="V308" s="2"/>
      <c r="W308" s="2"/>
      <c r="X308" s="2"/>
      <c r="Y308" s="2"/>
      <c r="Z308" s="2"/>
      <c r="AA308" s="2"/>
      <c r="AB308" s="40"/>
    </row>
    <row r="309" spans="2:28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  <c r="U309" s="2"/>
      <c r="V309" s="2"/>
      <c r="W309" s="2"/>
      <c r="X309" s="2"/>
      <c r="Y309" s="2"/>
      <c r="Z309" s="2"/>
      <c r="AA309" s="2"/>
      <c r="AB309" s="41"/>
    </row>
    <row r="310" spans="2:28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  <c r="U310" s="2"/>
      <c r="V310" s="2"/>
      <c r="W310" s="2"/>
      <c r="X310" s="2"/>
      <c r="Y310" s="2"/>
      <c r="Z310" s="2"/>
      <c r="AA310" s="2"/>
      <c r="AB310" s="40"/>
    </row>
    <row r="311" spans="2:28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  <c r="U311" s="2"/>
      <c r="V311" s="2"/>
      <c r="W311" s="2"/>
      <c r="X311" s="2"/>
      <c r="Y311" s="2"/>
      <c r="Z311" s="2"/>
      <c r="AA311" s="2"/>
      <c r="AB311" s="40"/>
    </row>
    <row r="312" spans="2:28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  <c r="U312" s="2"/>
      <c r="V312" s="2"/>
      <c r="W312" s="2"/>
      <c r="X312" s="2"/>
      <c r="Y312" s="2"/>
      <c r="Z312" s="2"/>
      <c r="AA312" s="2"/>
      <c r="AB312" s="40"/>
    </row>
    <row r="313" spans="2:28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  <c r="U313" s="2"/>
      <c r="V313" s="2"/>
      <c r="W313" s="2"/>
      <c r="X313" s="2"/>
      <c r="Y313" s="2"/>
      <c r="Z313" s="2"/>
      <c r="AA313" s="2"/>
      <c r="AB313" s="41"/>
    </row>
    <row r="314" spans="2:28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  <c r="U314" s="2"/>
      <c r="V314" s="2"/>
      <c r="W314" s="2"/>
      <c r="X314" s="2"/>
      <c r="Y314" s="2"/>
      <c r="Z314" s="2"/>
      <c r="AA314" s="2"/>
      <c r="AB314" s="40"/>
    </row>
    <row r="315" spans="2:28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  <c r="U315" s="2"/>
      <c r="V315" s="2"/>
      <c r="W315" s="2"/>
      <c r="X315" s="2"/>
      <c r="Y315" s="2"/>
      <c r="Z315" s="2"/>
      <c r="AA315" s="2"/>
      <c r="AB315" s="41"/>
    </row>
    <row r="316" spans="2:28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  <c r="U316" s="2"/>
      <c r="V316" s="2"/>
      <c r="W316" s="2"/>
      <c r="X316" s="2"/>
      <c r="Y316" s="2"/>
      <c r="Z316" s="2"/>
      <c r="AA316" s="2"/>
      <c r="AB316" s="41"/>
    </row>
    <row r="317" spans="2:28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  <c r="U317" s="2"/>
      <c r="V317" s="2"/>
      <c r="W317" s="2"/>
      <c r="X317" s="2"/>
      <c r="Y317" s="2"/>
      <c r="Z317" s="2"/>
      <c r="AA317" s="2"/>
      <c r="AB317" s="41"/>
    </row>
    <row r="318" spans="2:28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  <c r="U318" s="2"/>
      <c r="V318" s="2"/>
      <c r="W318" s="2"/>
      <c r="X318" s="2"/>
      <c r="Y318" s="2"/>
      <c r="Z318" s="2"/>
      <c r="AA318" s="2"/>
      <c r="AB318" s="41"/>
    </row>
    <row r="319" spans="2:28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  <c r="U319" s="2"/>
      <c r="V319" s="2"/>
      <c r="W319" s="2"/>
      <c r="X319" s="2"/>
      <c r="Y319" s="2"/>
      <c r="Z319" s="2"/>
      <c r="AA319" s="2"/>
      <c r="AB319" s="40"/>
    </row>
    <row r="320" spans="2:28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  <c r="U320" s="2"/>
      <c r="V320" s="2"/>
      <c r="W320" s="2"/>
      <c r="X320" s="2"/>
      <c r="Y320" s="2"/>
      <c r="Z320" s="2"/>
      <c r="AA320" s="2"/>
      <c r="AB320" s="41"/>
    </row>
    <row r="321" spans="2:28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  <c r="U321" s="2"/>
      <c r="V321" s="2"/>
      <c r="W321" s="2"/>
      <c r="X321" s="2"/>
      <c r="Y321" s="2"/>
      <c r="Z321" s="2"/>
      <c r="AA321" s="2"/>
      <c r="AB321" s="40"/>
    </row>
    <row r="322" spans="2:28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  <c r="U322" s="2"/>
      <c r="V322" s="2"/>
      <c r="W322" s="2"/>
      <c r="X322" s="2"/>
      <c r="Y322" s="2"/>
      <c r="Z322" s="2"/>
      <c r="AA322" s="2"/>
      <c r="AB322" s="41"/>
    </row>
    <row r="323" spans="2:28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  <c r="U323" s="2"/>
      <c r="V323" s="2"/>
      <c r="W323" s="2"/>
      <c r="X323" s="2"/>
      <c r="Y323" s="2"/>
      <c r="Z323" s="2"/>
      <c r="AA323" s="2"/>
      <c r="AB323" s="40"/>
    </row>
    <row r="324" spans="2:28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  <c r="U324" s="2"/>
      <c r="V324" s="2"/>
      <c r="W324" s="2"/>
      <c r="X324" s="2"/>
      <c r="Y324" s="2"/>
      <c r="Z324" s="2"/>
      <c r="AA324" s="2"/>
      <c r="AB324" s="40"/>
    </row>
    <row r="325" spans="2:28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  <c r="U325" s="2"/>
      <c r="V325" s="2"/>
      <c r="W325" s="2"/>
      <c r="X325" s="2"/>
      <c r="Y325" s="2"/>
      <c r="Z325" s="2"/>
      <c r="AA325" s="2"/>
      <c r="AB325" s="40"/>
    </row>
    <row r="326" spans="2:28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  <c r="U326" s="2"/>
      <c r="V326" s="2"/>
      <c r="W326" s="2"/>
      <c r="X326" s="2"/>
      <c r="Y326" s="2"/>
      <c r="Z326" s="2"/>
      <c r="AA326" s="2"/>
      <c r="AB326" s="40"/>
    </row>
    <row r="327" spans="2:28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  <c r="U327" s="2"/>
      <c r="V327" s="2"/>
      <c r="W327" s="2"/>
      <c r="X327" s="2"/>
      <c r="Y327" s="2"/>
      <c r="Z327" s="2"/>
      <c r="AA327" s="2"/>
      <c r="AB327" s="41"/>
    </row>
    <row r="328" spans="2:28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  <c r="U328" s="2"/>
      <c r="V328" s="2"/>
      <c r="W328" s="2"/>
      <c r="X328" s="2"/>
      <c r="Y328" s="2"/>
      <c r="Z328" s="2"/>
      <c r="AA328" s="2"/>
      <c r="AB328" s="41"/>
    </row>
    <row r="329" spans="2:28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  <c r="U329" s="2"/>
      <c r="V329" s="2"/>
      <c r="W329" s="2"/>
      <c r="X329" s="2"/>
      <c r="Y329" s="2"/>
      <c r="Z329" s="2"/>
      <c r="AA329" s="2"/>
      <c r="AB329" s="40"/>
    </row>
    <row r="330" spans="2:28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  <c r="U330" s="2"/>
      <c r="V330" s="2"/>
      <c r="W330" s="2"/>
      <c r="X330" s="2"/>
      <c r="Y330" s="2"/>
      <c r="Z330" s="2"/>
      <c r="AA330" s="2"/>
      <c r="AB330" s="40"/>
    </row>
    <row r="331" spans="2:28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  <c r="U331" s="2"/>
      <c r="V331" s="2"/>
      <c r="W331" s="2"/>
      <c r="X331" s="2"/>
      <c r="Y331" s="2"/>
      <c r="Z331" s="2"/>
      <c r="AA331" s="2"/>
      <c r="AB331" s="40"/>
    </row>
    <row r="332" spans="2:28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  <c r="U332" s="2"/>
      <c r="V332" s="2"/>
      <c r="W332" s="2"/>
      <c r="X332" s="2"/>
      <c r="Y332" s="2"/>
      <c r="Z332" s="2"/>
      <c r="AA332" s="2"/>
      <c r="AB332" s="40"/>
    </row>
    <row r="333" spans="2:28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  <c r="U333" s="2"/>
      <c r="V333" s="2"/>
      <c r="W333" s="2"/>
      <c r="X333" s="2"/>
      <c r="Y333" s="2"/>
      <c r="Z333" s="2"/>
      <c r="AA333" s="2"/>
      <c r="AB333" s="40"/>
    </row>
    <row r="334" spans="2:28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  <c r="U334" s="2"/>
      <c r="V334" s="2"/>
      <c r="W334" s="2"/>
      <c r="X334" s="2"/>
      <c r="Y334" s="2"/>
      <c r="Z334" s="2"/>
      <c r="AA334" s="2"/>
      <c r="AB334" s="40"/>
    </row>
    <row r="335" spans="2:28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  <c r="U335" s="2"/>
      <c r="V335" s="2"/>
      <c r="W335" s="2"/>
      <c r="X335" s="2"/>
      <c r="Y335" s="2"/>
      <c r="Z335" s="2"/>
      <c r="AA335" s="2"/>
      <c r="AB335" s="40"/>
    </row>
    <row r="336" spans="2:28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  <c r="U336" s="2"/>
      <c r="V336" s="2"/>
      <c r="W336" s="2"/>
      <c r="X336" s="2"/>
      <c r="Y336" s="2"/>
      <c r="Z336" s="2"/>
      <c r="AA336" s="2"/>
      <c r="AB336" s="40"/>
    </row>
    <row r="337" spans="2:28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  <c r="U337" s="2"/>
      <c r="V337" s="2"/>
      <c r="W337" s="2"/>
      <c r="X337" s="2"/>
      <c r="Y337" s="2"/>
      <c r="Z337" s="2"/>
      <c r="AA337" s="2"/>
      <c r="AB337" s="40"/>
    </row>
    <row r="338" spans="2:28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  <c r="U338" s="2"/>
      <c r="V338" s="2"/>
      <c r="W338" s="2"/>
      <c r="X338" s="2"/>
      <c r="Y338" s="2"/>
      <c r="Z338" s="2"/>
      <c r="AA338" s="2"/>
      <c r="AB338" s="41"/>
    </row>
    <row r="339" spans="2:28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  <c r="U339" s="2"/>
      <c r="V339" s="2"/>
      <c r="W339" s="2"/>
      <c r="X339" s="2"/>
      <c r="Y339" s="2"/>
      <c r="Z339" s="2"/>
      <c r="AA339" s="2"/>
      <c r="AB339" s="40"/>
    </row>
    <row r="340" spans="2:28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  <c r="U340" s="2"/>
      <c r="V340" s="2"/>
      <c r="W340" s="2"/>
      <c r="X340" s="2"/>
      <c r="Y340" s="2"/>
      <c r="Z340" s="2"/>
      <c r="AA340" s="2"/>
      <c r="AB340" s="40"/>
    </row>
    <row r="341" spans="2:28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  <c r="U341" s="2"/>
      <c r="V341" s="2"/>
      <c r="W341" s="2"/>
      <c r="X341" s="2"/>
      <c r="Y341" s="2"/>
      <c r="Z341" s="2"/>
      <c r="AA341" s="2"/>
      <c r="AB341" s="40"/>
    </row>
    <row r="342" spans="2:28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  <c r="U342" s="2"/>
      <c r="V342" s="2"/>
      <c r="W342" s="2"/>
      <c r="X342" s="2"/>
      <c r="Y342" s="2"/>
      <c r="Z342" s="2"/>
      <c r="AA342" s="2"/>
      <c r="AB342" s="41"/>
    </row>
    <row r="343" spans="2:28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  <c r="U343" s="2"/>
      <c r="V343" s="2"/>
      <c r="W343" s="2"/>
      <c r="X343" s="2"/>
      <c r="Y343" s="2"/>
      <c r="Z343" s="2"/>
      <c r="AA343" s="2"/>
      <c r="AB343" s="41"/>
    </row>
    <row r="344" spans="2:28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  <c r="U344" s="2"/>
      <c r="V344" s="2"/>
      <c r="W344" s="2"/>
      <c r="X344" s="2"/>
      <c r="Y344" s="2"/>
      <c r="Z344" s="2"/>
      <c r="AA344" s="2"/>
      <c r="AB344" s="40"/>
    </row>
    <row r="345" spans="2:28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  <c r="U345" s="2"/>
      <c r="V345" s="2"/>
      <c r="W345" s="2"/>
      <c r="X345" s="2"/>
      <c r="Y345" s="2"/>
      <c r="Z345" s="2"/>
      <c r="AA345" s="2"/>
      <c r="AB345" s="40"/>
    </row>
    <row r="346" spans="2:28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  <c r="U346" s="2"/>
      <c r="V346" s="2"/>
      <c r="W346" s="2"/>
      <c r="X346" s="2"/>
      <c r="Y346" s="2"/>
      <c r="Z346" s="2"/>
      <c r="AA346" s="2"/>
      <c r="AB346" s="40"/>
    </row>
    <row r="347" spans="2:28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  <c r="U347" s="2"/>
      <c r="V347" s="2"/>
      <c r="W347" s="2"/>
      <c r="X347" s="2"/>
      <c r="Y347" s="2"/>
      <c r="Z347" s="2"/>
      <c r="AA347" s="2"/>
      <c r="AB347" s="40"/>
    </row>
    <row r="348" spans="2:28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  <c r="U348" s="2"/>
      <c r="V348" s="2"/>
      <c r="W348" s="2"/>
      <c r="X348" s="2"/>
      <c r="Y348" s="2"/>
      <c r="Z348" s="2"/>
      <c r="AA348" s="2"/>
      <c r="AB348" s="40"/>
    </row>
    <row r="349" spans="2:28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  <c r="U349" s="2"/>
      <c r="V349" s="2"/>
      <c r="W349" s="2"/>
      <c r="X349" s="2"/>
      <c r="Y349" s="2"/>
      <c r="Z349" s="2"/>
      <c r="AA349" s="2"/>
      <c r="AB349" s="41"/>
    </row>
    <row r="350" spans="2:28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  <c r="U350" s="2"/>
      <c r="V350" s="2"/>
      <c r="W350" s="2"/>
      <c r="X350" s="2"/>
      <c r="Y350" s="2"/>
      <c r="Z350" s="2"/>
      <c r="AA350" s="2"/>
      <c r="AB350" s="40"/>
    </row>
    <row r="351" spans="2:28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  <c r="U351" s="2"/>
      <c r="V351" s="2"/>
      <c r="W351" s="2"/>
      <c r="X351" s="2"/>
      <c r="Y351" s="2"/>
      <c r="Z351" s="2"/>
      <c r="AA351" s="2"/>
      <c r="AB351" s="40"/>
    </row>
    <row r="352" spans="2:28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  <c r="U352" s="2"/>
      <c r="V352" s="2"/>
      <c r="W352" s="2"/>
      <c r="X352" s="2"/>
      <c r="Y352" s="2"/>
      <c r="Z352" s="2"/>
      <c r="AA352" s="2"/>
      <c r="AB352" s="40"/>
    </row>
    <row r="353" spans="2:28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  <c r="U353" s="2"/>
      <c r="V353" s="2"/>
      <c r="W353" s="2"/>
      <c r="X353" s="2"/>
      <c r="Y353" s="2"/>
      <c r="Z353" s="2"/>
      <c r="AA353" s="2"/>
      <c r="AB353" s="40"/>
    </row>
    <row r="354" spans="2:28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  <c r="U354" s="2"/>
      <c r="V354" s="2"/>
      <c r="W354" s="2"/>
      <c r="X354" s="2"/>
      <c r="Y354" s="2"/>
      <c r="Z354" s="2"/>
      <c r="AA354" s="2"/>
      <c r="AB354" s="40"/>
    </row>
    <row r="355" spans="2:28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  <c r="U355" s="2"/>
      <c r="V355" s="2"/>
      <c r="W355" s="2"/>
      <c r="X355" s="2"/>
      <c r="Y355" s="2"/>
      <c r="Z355" s="2"/>
      <c r="AA355" s="2"/>
      <c r="AB355" s="41"/>
    </row>
    <row r="356" spans="2:28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  <c r="U356" s="2"/>
      <c r="V356" s="2"/>
      <c r="W356" s="2"/>
      <c r="X356" s="2"/>
      <c r="Y356" s="2"/>
      <c r="Z356" s="2"/>
      <c r="AA356" s="2"/>
      <c r="AB356" s="40"/>
    </row>
    <row r="357" spans="2:28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  <c r="U357" s="2"/>
      <c r="V357" s="2"/>
      <c r="W357" s="2"/>
      <c r="X357" s="2"/>
      <c r="Y357" s="2"/>
      <c r="Z357" s="2"/>
      <c r="AA357" s="2"/>
      <c r="AB357" s="40"/>
    </row>
    <row r="358" spans="2:28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  <c r="U358" s="2"/>
      <c r="V358" s="2"/>
      <c r="W358" s="2"/>
      <c r="X358" s="2"/>
      <c r="Y358" s="2"/>
      <c r="Z358" s="2"/>
      <c r="AA358" s="2"/>
      <c r="AB358" s="40"/>
    </row>
    <row r="359" spans="2:28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  <c r="U359" s="2"/>
      <c r="V359" s="2"/>
      <c r="W359" s="2"/>
      <c r="X359" s="2"/>
      <c r="Y359" s="2"/>
      <c r="Z359" s="2"/>
      <c r="AA359" s="2"/>
      <c r="AB359" s="40"/>
    </row>
    <row r="360" spans="2:28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  <c r="U360" s="2"/>
      <c r="V360" s="2"/>
      <c r="W360" s="2"/>
      <c r="X360" s="2"/>
      <c r="Y360" s="2"/>
      <c r="Z360" s="2"/>
      <c r="AA360" s="2"/>
      <c r="AB360" s="40"/>
    </row>
    <row r="361" spans="2:28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  <c r="U361" s="2"/>
      <c r="V361" s="2"/>
      <c r="W361" s="2"/>
      <c r="X361" s="2"/>
      <c r="Y361" s="2"/>
      <c r="Z361" s="2"/>
      <c r="AA361" s="2"/>
      <c r="AB361" s="41"/>
    </row>
    <row r="362" spans="2:28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  <c r="U362" s="2"/>
      <c r="V362" s="2"/>
      <c r="W362" s="2"/>
      <c r="X362" s="2"/>
      <c r="Y362" s="2"/>
      <c r="Z362" s="2"/>
      <c r="AA362" s="2"/>
      <c r="AB362" s="41"/>
    </row>
    <row r="363" spans="2:28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  <c r="U363" s="2"/>
      <c r="V363" s="2"/>
      <c r="W363" s="2"/>
      <c r="X363" s="2"/>
      <c r="Y363" s="2"/>
      <c r="Z363" s="2"/>
      <c r="AA363" s="2"/>
      <c r="AB363" s="40"/>
    </row>
    <row r="364" spans="2:28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  <c r="U364" s="2"/>
      <c r="V364" s="2"/>
      <c r="W364" s="2"/>
      <c r="X364" s="2"/>
      <c r="Y364" s="2"/>
      <c r="Z364" s="2"/>
      <c r="AA364" s="2"/>
      <c r="AB364" s="40"/>
    </row>
    <row r="365" spans="2:28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  <c r="U365" s="2"/>
      <c r="V365" s="2"/>
      <c r="W365" s="2"/>
      <c r="X365" s="2"/>
      <c r="Y365" s="2"/>
      <c r="Z365" s="2"/>
      <c r="AA365" s="2"/>
      <c r="AB365" s="40"/>
    </row>
    <row r="366" spans="2:28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  <c r="U366" s="2"/>
      <c r="V366" s="2"/>
      <c r="W366" s="2"/>
      <c r="X366" s="2"/>
      <c r="Y366" s="2"/>
      <c r="Z366" s="2"/>
      <c r="AA366" s="2"/>
      <c r="AB366" s="40"/>
    </row>
    <row r="367" spans="2:28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  <c r="U367" s="2"/>
      <c r="V367" s="2"/>
      <c r="W367" s="2"/>
      <c r="X367" s="2"/>
      <c r="Y367" s="2"/>
      <c r="Z367" s="2"/>
      <c r="AA367" s="2"/>
      <c r="AB367" s="41"/>
    </row>
    <row r="368" spans="2:28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  <c r="U368" s="2"/>
      <c r="V368" s="2"/>
      <c r="W368" s="2"/>
      <c r="X368" s="2"/>
      <c r="Y368" s="2"/>
      <c r="Z368" s="2"/>
      <c r="AA368" s="2"/>
      <c r="AB368" s="40"/>
    </row>
    <row r="369" spans="2:28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  <c r="U369" s="2"/>
      <c r="V369" s="2"/>
      <c r="W369" s="2"/>
      <c r="X369" s="2"/>
      <c r="Y369" s="2"/>
      <c r="Z369" s="2"/>
      <c r="AA369" s="2"/>
      <c r="AB369" s="40"/>
    </row>
    <row r="370" spans="2:28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  <c r="U370" s="2"/>
      <c r="V370" s="2"/>
      <c r="W370" s="2"/>
      <c r="X370" s="2"/>
      <c r="Y370" s="2"/>
      <c r="Z370" s="2"/>
      <c r="AA370" s="2"/>
      <c r="AB370" s="40"/>
    </row>
    <row r="371" spans="2:28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  <c r="U371" s="2"/>
      <c r="V371" s="2"/>
      <c r="W371" s="2"/>
      <c r="X371" s="2"/>
      <c r="Y371" s="2"/>
      <c r="Z371" s="2"/>
      <c r="AA371" s="2"/>
      <c r="AB371" s="41"/>
    </row>
    <row r="372" spans="2:28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  <c r="U372" s="2"/>
      <c r="V372" s="2"/>
      <c r="W372" s="2"/>
      <c r="X372" s="2"/>
      <c r="Y372" s="2"/>
      <c r="Z372" s="2"/>
      <c r="AA372" s="2"/>
      <c r="AB372" s="41"/>
    </row>
    <row r="373" spans="2:28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  <c r="U373" s="2"/>
      <c r="V373" s="2"/>
      <c r="W373" s="2"/>
      <c r="X373" s="2"/>
      <c r="Y373" s="2"/>
      <c r="Z373" s="2"/>
      <c r="AA373" s="2"/>
      <c r="AB373" s="40"/>
    </row>
    <row r="374" spans="2:28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  <c r="U374" s="2"/>
      <c r="V374" s="2"/>
      <c r="W374" s="2"/>
      <c r="X374" s="2"/>
      <c r="Y374" s="2"/>
      <c r="Z374" s="2"/>
      <c r="AA374" s="2"/>
      <c r="AB374" s="40"/>
    </row>
    <row r="375" spans="2:28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  <c r="U375" s="2"/>
      <c r="V375" s="2"/>
      <c r="W375" s="2"/>
      <c r="X375" s="2"/>
      <c r="Y375" s="2"/>
      <c r="Z375" s="2"/>
      <c r="AA375" s="2"/>
      <c r="AB375" s="40"/>
    </row>
    <row r="376" spans="2:28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  <c r="U376" s="2"/>
      <c r="V376" s="2"/>
      <c r="W376" s="2"/>
      <c r="X376" s="2"/>
      <c r="Y376" s="2"/>
      <c r="Z376" s="2"/>
      <c r="AA376" s="2"/>
      <c r="AB376" s="41"/>
    </row>
    <row r="377" spans="2:28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  <c r="U377" s="2"/>
      <c r="V377" s="2"/>
      <c r="W377" s="2"/>
      <c r="X377" s="2"/>
      <c r="Y377" s="2"/>
      <c r="Z377" s="2"/>
      <c r="AA377" s="2"/>
      <c r="AB377" s="40"/>
    </row>
    <row r="378" spans="2:28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  <c r="U378" s="2"/>
      <c r="V378" s="2"/>
      <c r="W378" s="2"/>
      <c r="X378" s="2"/>
      <c r="Y378" s="2"/>
      <c r="Z378" s="2"/>
      <c r="AA378" s="2"/>
      <c r="AB378" s="40"/>
    </row>
    <row r="379" spans="2:28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  <c r="U379" s="2"/>
      <c r="V379" s="2"/>
      <c r="W379" s="2"/>
      <c r="X379" s="2"/>
      <c r="Y379" s="2"/>
      <c r="Z379" s="2"/>
      <c r="AA379" s="2"/>
      <c r="AB379" s="41"/>
    </row>
    <row r="380" spans="2:28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  <c r="U380" s="2"/>
      <c r="V380" s="2"/>
      <c r="W380" s="2"/>
      <c r="X380" s="2"/>
      <c r="Y380" s="2"/>
      <c r="Z380" s="2"/>
      <c r="AA380" s="2"/>
      <c r="AB380" s="41"/>
    </row>
    <row r="381" spans="2:28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  <c r="U381" s="2"/>
      <c r="V381" s="2"/>
      <c r="W381" s="2"/>
      <c r="X381" s="2"/>
      <c r="Y381" s="2"/>
      <c r="Z381" s="2"/>
      <c r="AA381" s="2"/>
      <c r="AB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3" name="Button 1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4" name="Button 2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0</xdr:row>
                    <xdr:rowOff>177800</xdr:rowOff>
                  </from>
                  <to>
                    <xdr:col>1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Teams</vt:lpstr>
      <vt:lpstr>Roster</vt:lpstr>
      <vt:lpstr>Week 1</vt:lpstr>
      <vt:lpstr>QA WK1</vt:lpstr>
      <vt:lpstr>ME0025 WK1</vt:lpstr>
      <vt:lpstr>Week 2</vt:lpstr>
      <vt:lpstr>QA WK2</vt:lpstr>
      <vt:lpstr>ME0025 WK2</vt:lpstr>
      <vt:lpstr>Week 3</vt:lpstr>
      <vt:lpstr>QA WK3</vt:lpstr>
      <vt:lpstr>ME0025 WK3</vt:lpstr>
      <vt:lpstr>Week 4</vt:lpstr>
      <vt:lpstr>QA WK4</vt:lpstr>
      <vt:lpstr>ME0025 WK4</vt:lpstr>
      <vt:lpstr>Week 5</vt:lpstr>
      <vt:lpstr>QA WK5</vt:lpstr>
      <vt:lpstr>ME0025 WK5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Reyes</dc:creator>
  <cp:lastModifiedBy>ReyesJoseLuis1119@gmail.com</cp:lastModifiedBy>
  <dcterms:created xsi:type="dcterms:W3CDTF">2022-09-26T21:23:33Z</dcterms:created>
  <dcterms:modified xsi:type="dcterms:W3CDTF">2026-05-16T16:48:28Z</dcterms:modified>
</cp:coreProperties>
</file>