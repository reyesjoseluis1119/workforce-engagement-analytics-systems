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yden\Downloads\"/>
    </mc:Choice>
  </mc:AlternateContent>
  <xr:revisionPtr revIDLastSave="0" documentId="13_ncr:1_{8D6CC3BD-A17F-4248-AD0F-35D2031C5661}" xr6:coauthVersionLast="47" xr6:coauthVersionMax="47" xr10:uidLastSave="{00000000-0000-0000-0000-000000000000}"/>
  <bookViews>
    <workbookView xWindow="-110" yWindow="-110" windowWidth="19420" windowHeight="11500" tabRatio="958" xr2:uid="{00000000-000D-0000-FFFF-FFFF00000000}"/>
  </bookViews>
  <sheets>
    <sheet name="Dashboard" sheetId="85" r:id="rId1"/>
    <sheet name="Teams" sheetId="59" r:id="rId2"/>
    <sheet name="Roster" sheetId="48" r:id="rId3"/>
    <sheet name="Week 1" sheetId="44" r:id="rId4"/>
    <sheet name="QA WK1" sheetId="74" r:id="rId5"/>
    <sheet name="ME0025 WK1" sheetId="46" r:id="rId6"/>
    <sheet name="Week 2" sheetId="81" r:id="rId7"/>
    <sheet name="QA WK2" sheetId="76" r:id="rId8"/>
    <sheet name="ME0025 WK2" sheetId="63" r:id="rId9"/>
    <sheet name="Week 3" sheetId="82" r:id="rId10"/>
    <sheet name="QA WK3" sheetId="77" r:id="rId11"/>
    <sheet name="ME0025 WK3" sheetId="66" r:id="rId12"/>
    <sheet name="Week 4" sheetId="83" r:id="rId13"/>
    <sheet name="QA WK4" sheetId="78" r:id="rId14"/>
    <sheet name="ME0025 WK4" sheetId="69" r:id="rId15"/>
    <sheet name="Week 5" sheetId="84" r:id="rId16"/>
    <sheet name="QA WK5" sheetId="79" r:id="rId17"/>
    <sheet name="ME0025 WK5" sheetId="72" r:id="rId18"/>
  </sheets>
  <externalReferences>
    <externalReference r:id="rId1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4" l="1"/>
  <c r="E2" i="44" s="1"/>
  <c r="B2" i="44"/>
  <c r="C2" i="44"/>
  <c r="D2" i="44" s="1"/>
  <c r="A3" i="44"/>
  <c r="B3" i="44" s="1"/>
  <c r="C3" i="44"/>
  <c r="D3" i="44" s="1"/>
  <c r="A4" i="44"/>
  <c r="B4" i="44"/>
  <c r="C4" i="44"/>
  <c r="D4" i="44" s="1"/>
  <c r="E4" i="44"/>
  <c r="A5" i="44"/>
  <c r="B5" i="44" s="1"/>
  <c r="E5" i="44"/>
  <c r="A6" i="44"/>
  <c r="B6" i="44" s="1"/>
  <c r="C6" i="44"/>
  <c r="D6" i="44" s="1"/>
  <c r="E6" i="44"/>
  <c r="A7" i="44"/>
  <c r="C7" i="44" s="1"/>
  <c r="D7" i="44" s="1"/>
  <c r="B7" i="44"/>
  <c r="A8" i="44"/>
  <c r="C8" i="44" s="1"/>
  <c r="D8" i="44" s="1"/>
  <c r="B8" i="44"/>
  <c r="E8" i="44"/>
  <c r="A9" i="44"/>
  <c r="C9" i="44" s="1"/>
  <c r="D9" i="44" s="1"/>
  <c r="B9" i="44"/>
  <c r="A10" i="44"/>
  <c r="C10" i="44" s="1"/>
  <c r="D10" i="44" s="1"/>
  <c r="B10" i="44"/>
  <c r="A11" i="44"/>
  <c r="B11" i="44"/>
  <c r="C11" i="44"/>
  <c r="D11" i="44" s="1"/>
  <c r="E11" i="44"/>
  <c r="A12" i="44"/>
  <c r="B12" i="44" s="1"/>
  <c r="A13" i="44"/>
  <c r="B13" i="44" s="1"/>
  <c r="E13" i="44"/>
  <c r="A14" i="44"/>
  <c r="E14" i="44" s="1"/>
  <c r="B14" i="44"/>
  <c r="C14" i="44"/>
  <c r="D14" i="44" s="1"/>
  <c r="A15" i="44"/>
  <c r="B15" i="44" s="1"/>
  <c r="C15" i="44"/>
  <c r="D15" i="44" s="1"/>
  <c r="C15" i="74"/>
  <c r="B15" i="74"/>
  <c r="A15" i="74"/>
  <c r="I15" i="74" s="1"/>
  <c r="C14" i="74"/>
  <c r="B14" i="74"/>
  <c r="A14" i="74"/>
  <c r="F14" i="74" s="1"/>
  <c r="C13" i="74"/>
  <c r="B13" i="74"/>
  <c r="A13" i="74"/>
  <c r="G13" i="74" s="1"/>
  <c r="C12" i="74"/>
  <c r="B12" i="74"/>
  <c r="A12" i="74"/>
  <c r="I12" i="74" s="1"/>
  <c r="F11" i="74"/>
  <c r="E11" i="74"/>
  <c r="C11" i="74"/>
  <c r="B11" i="74"/>
  <c r="A11" i="74"/>
  <c r="I11" i="74" s="1"/>
  <c r="H10" i="74"/>
  <c r="G10" i="74"/>
  <c r="D10" i="74"/>
  <c r="C10" i="74"/>
  <c r="B10" i="74"/>
  <c r="A10" i="74"/>
  <c r="F10" i="74" s="1"/>
  <c r="D9" i="74"/>
  <c r="C9" i="74"/>
  <c r="B9" i="74"/>
  <c r="A9" i="74"/>
  <c r="E9" i="74" s="1"/>
  <c r="I8" i="74"/>
  <c r="H8" i="74"/>
  <c r="C8" i="74"/>
  <c r="B8" i="74"/>
  <c r="A8" i="74"/>
  <c r="G8" i="74" s="1"/>
  <c r="G7" i="74"/>
  <c r="F7" i="74"/>
  <c r="E7" i="74"/>
  <c r="C7" i="74"/>
  <c r="B7" i="74"/>
  <c r="A7" i="74"/>
  <c r="I7" i="74" s="1"/>
  <c r="H6" i="74"/>
  <c r="G6" i="74"/>
  <c r="D6" i="74"/>
  <c r="C6" i="74"/>
  <c r="B6" i="74"/>
  <c r="A6" i="74"/>
  <c r="F6" i="74" s="1"/>
  <c r="C5" i="74"/>
  <c r="B5" i="74"/>
  <c r="A5" i="74"/>
  <c r="I5" i="74" s="1"/>
  <c r="I4" i="74"/>
  <c r="H4" i="74"/>
  <c r="C4" i="74"/>
  <c r="B4" i="74"/>
  <c r="A4" i="74"/>
  <c r="G4" i="74" s="1"/>
  <c r="G3" i="74"/>
  <c r="F3" i="74"/>
  <c r="E3" i="74"/>
  <c r="C3" i="74"/>
  <c r="B3" i="74"/>
  <c r="A3" i="74"/>
  <c r="I3" i="74" s="1"/>
  <c r="H2" i="74"/>
  <c r="G2" i="74"/>
  <c r="D2" i="74"/>
  <c r="C2" i="74"/>
  <c r="B2" i="74"/>
  <c r="A2" i="74"/>
  <c r="F2" i="74" s="1"/>
  <c r="BC27" i="85"/>
  <c r="BC26" i="85"/>
  <c r="BC25" i="85"/>
  <c r="BC24" i="85"/>
  <c r="BC23" i="85"/>
  <c r="BC22" i="85"/>
  <c r="BC21" i="85"/>
  <c r="BC20" i="85"/>
  <c r="BC19" i="85"/>
  <c r="BC18" i="85"/>
  <c r="BC13" i="85"/>
  <c r="BC12" i="85"/>
  <c r="BC11" i="85"/>
  <c r="BC10" i="85"/>
  <c r="BC9" i="85"/>
  <c r="BC8" i="85"/>
  <c r="BC7" i="85"/>
  <c r="BC6" i="85"/>
  <c r="BC5" i="85"/>
  <c r="BC4" i="85"/>
  <c r="AT27" i="85"/>
  <c r="AT26" i="85"/>
  <c r="AT25" i="85"/>
  <c r="AT24" i="85"/>
  <c r="AT23" i="85"/>
  <c r="AT22" i="85"/>
  <c r="AT21" i="85"/>
  <c r="AT20" i="85"/>
  <c r="AT19" i="85"/>
  <c r="AT18" i="85"/>
  <c r="AT13" i="85"/>
  <c r="AT12" i="85"/>
  <c r="AT11" i="85"/>
  <c r="AT10" i="85"/>
  <c r="AT9" i="85"/>
  <c r="AT8" i="85"/>
  <c r="AT7" i="85"/>
  <c r="AT6" i="85"/>
  <c r="AT5" i="85"/>
  <c r="AT4" i="85"/>
  <c r="AK27" i="85"/>
  <c r="AK26" i="85"/>
  <c r="AK25" i="85"/>
  <c r="AK24" i="85"/>
  <c r="AK23" i="85"/>
  <c r="AK22" i="85"/>
  <c r="AK21" i="85"/>
  <c r="AK20" i="85"/>
  <c r="AK19" i="85"/>
  <c r="AK18" i="85"/>
  <c r="AK13" i="85"/>
  <c r="AK12" i="85"/>
  <c r="AK11" i="85"/>
  <c r="AK10" i="85"/>
  <c r="AK9" i="85"/>
  <c r="AK8" i="85"/>
  <c r="AK7" i="85"/>
  <c r="AK6" i="85"/>
  <c r="AK5" i="85"/>
  <c r="AK4" i="85"/>
  <c r="AB27" i="85"/>
  <c r="AB26" i="85"/>
  <c r="AB25" i="85"/>
  <c r="AB24" i="85"/>
  <c r="AB23" i="85"/>
  <c r="AB22" i="85"/>
  <c r="AB21" i="85"/>
  <c r="AB20" i="85"/>
  <c r="AB19" i="85"/>
  <c r="AB18" i="85"/>
  <c r="AB13" i="85"/>
  <c r="AB12" i="85"/>
  <c r="AB11" i="85"/>
  <c r="AB10" i="85"/>
  <c r="AB9" i="85"/>
  <c r="AB8" i="85"/>
  <c r="AB7" i="85"/>
  <c r="AB6" i="85"/>
  <c r="AB5" i="85"/>
  <c r="AB4" i="85"/>
  <c r="S19" i="85"/>
  <c r="S20" i="85"/>
  <c r="S21" i="85"/>
  <c r="S22" i="85"/>
  <c r="S23" i="85"/>
  <c r="S24" i="85"/>
  <c r="S25" i="85"/>
  <c r="S26" i="85"/>
  <c r="S27" i="85"/>
  <c r="S18" i="85"/>
  <c r="S5" i="85"/>
  <c r="S6" i="85"/>
  <c r="S7" i="85"/>
  <c r="S8" i="85"/>
  <c r="S9" i="85"/>
  <c r="S10" i="85"/>
  <c r="S11" i="85"/>
  <c r="S12" i="85"/>
  <c r="S13" i="85"/>
  <c r="S4" i="85"/>
  <c r="M22" i="85"/>
  <c r="G21" i="85"/>
  <c r="G22" i="85"/>
  <c r="F12" i="85"/>
  <c r="F13" i="85"/>
  <c r="F14" i="85"/>
  <c r="F15" i="85"/>
  <c r="F16" i="85"/>
  <c r="F17" i="85"/>
  <c r="F18" i="85"/>
  <c r="F19" i="85"/>
  <c r="F20" i="85"/>
  <c r="F21" i="85"/>
  <c r="F22" i="85"/>
  <c r="L12" i="85"/>
  <c r="L13" i="85"/>
  <c r="L14" i="85"/>
  <c r="L15" i="85"/>
  <c r="L16" i="85"/>
  <c r="L17" i="85"/>
  <c r="L18" i="85"/>
  <c r="L19" i="85"/>
  <c r="L20" i="85"/>
  <c r="L21" i="85"/>
  <c r="M21" i="85" s="1"/>
  <c r="L22" i="85"/>
  <c r="L11" i="85"/>
  <c r="F11" i="85"/>
  <c r="B22" i="84"/>
  <c r="C22" i="84"/>
  <c r="D22" i="84" s="1"/>
  <c r="E22" i="84"/>
  <c r="B22" i="83"/>
  <c r="C22" i="83"/>
  <c r="D22" i="83" s="1"/>
  <c r="E22" i="83"/>
  <c r="B22" i="82"/>
  <c r="C22" i="82"/>
  <c r="D22" i="82" s="1"/>
  <c r="E22" i="82"/>
  <c r="B22" i="81"/>
  <c r="C22" i="81"/>
  <c r="D22" i="81" s="1"/>
  <c r="E22" i="81"/>
  <c r="E15" i="44" l="1"/>
  <c r="C13" i="44"/>
  <c r="D13" i="44" s="1"/>
  <c r="E3" i="44"/>
  <c r="E10" i="44"/>
  <c r="E12" i="44"/>
  <c r="E7" i="44"/>
  <c r="C5" i="44"/>
  <c r="D5" i="44" s="1"/>
  <c r="C12" i="44"/>
  <c r="D12" i="44" s="1"/>
  <c r="E9" i="44"/>
  <c r="D13" i="74"/>
  <c r="G14" i="74"/>
  <c r="E13" i="74"/>
  <c r="H14" i="74"/>
  <c r="E5" i="74"/>
  <c r="I2" i="74"/>
  <c r="F5" i="74"/>
  <c r="I6" i="74"/>
  <c r="F9" i="74"/>
  <c r="I10" i="74"/>
  <c r="F13" i="74"/>
  <c r="I14" i="74"/>
  <c r="D5" i="74"/>
  <c r="E8" i="74"/>
  <c r="H9" i="74"/>
  <c r="E12" i="74"/>
  <c r="H13" i="74"/>
  <c r="D4" i="74"/>
  <c r="G5" i="74"/>
  <c r="D8" i="74"/>
  <c r="G9" i="74"/>
  <c r="H5" i="74"/>
  <c r="F4" i="74"/>
  <c r="F8" i="74"/>
  <c r="I9" i="74"/>
  <c r="F12" i="74"/>
  <c r="I13" i="74"/>
  <c r="D12" i="74"/>
  <c r="E4" i="74"/>
  <c r="D3" i="74"/>
  <c r="D7" i="74"/>
  <c r="D11" i="74"/>
  <c r="G12" i="74"/>
  <c r="D15" i="74"/>
  <c r="H12" i="74"/>
  <c r="E15" i="74"/>
  <c r="F15" i="74"/>
  <c r="D14" i="74"/>
  <c r="G15" i="74"/>
  <c r="G11" i="74"/>
  <c r="E2" i="74"/>
  <c r="H3" i="74"/>
  <c r="E6" i="74"/>
  <c r="H7" i="74"/>
  <c r="E10" i="74"/>
  <c r="H11" i="74"/>
  <c r="E14" i="74"/>
  <c r="H15" i="74"/>
  <c r="A3" i="84"/>
  <c r="A4" i="84"/>
  <c r="A5" i="84"/>
  <c r="A6" i="84"/>
  <c r="A7" i="84"/>
  <c r="A8" i="84"/>
  <c r="A9" i="84"/>
  <c r="A10" i="84"/>
  <c r="A11" i="84"/>
  <c r="A12" i="84"/>
  <c r="A13" i="84"/>
  <c r="A14" i="84"/>
  <c r="A15" i="84"/>
  <c r="A16" i="84"/>
  <c r="A17" i="84"/>
  <c r="A18" i="84"/>
  <c r="A19" i="84"/>
  <c r="A20" i="84"/>
  <c r="A21" i="84"/>
  <c r="A22" i="84"/>
  <c r="A2" i="84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" i="8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" i="82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" i="81"/>
  <c r="A16" i="44"/>
  <c r="A17" i="44"/>
  <c r="A18" i="44"/>
  <c r="A19" i="44"/>
  <c r="A20" i="44"/>
  <c r="A21" i="44"/>
  <c r="A22" i="44"/>
  <c r="B4" i="59"/>
  <c r="B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3" i="59"/>
  <c r="B15" i="81" l="1"/>
  <c r="E15" i="81"/>
  <c r="C15" i="81"/>
  <c r="D15" i="81" s="1"/>
  <c r="C12" i="82"/>
  <c r="D12" i="82" s="1"/>
  <c r="B12" i="82"/>
  <c r="E12" i="82"/>
  <c r="B9" i="83"/>
  <c r="C9" i="83"/>
  <c r="D9" i="83" s="1"/>
  <c r="E9" i="83"/>
  <c r="B6" i="84"/>
  <c r="C6" i="84"/>
  <c r="D6" i="84" s="1"/>
  <c r="E6" i="84"/>
  <c r="C14" i="81"/>
  <c r="D14" i="81" s="1"/>
  <c r="E14" i="81"/>
  <c r="B14" i="81"/>
  <c r="B19" i="82"/>
  <c r="C19" i="82"/>
  <c r="D19" i="82" s="1"/>
  <c r="E19" i="82"/>
  <c r="C3" i="82"/>
  <c r="D3" i="82" s="1"/>
  <c r="E3" i="82"/>
  <c r="B3" i="82"/>
  <c r="B8" i="83"/>
  <c r="C8" i="83"/>
  <c r="D8" i="83" s="1"/>
  <c r="E8" i="83"/>
  <c r="C13" i="84"/>
  <c r="D13" i="84" s="1"/>
  <c r="BE19" i="85" s="1"/>
  <c r="E13" i="84"/>
  <c r="BF19" i="85" s="1"/>
  <c r="B13" i="84"/>
  <c r="BD19" i="85" s="1"/>
  <c r="E5" i="81"/>
  <c r="B5" i="81"/>
  <c r="C5" i="81"/>
  <c r="D5" i="81" s="1"/>
  <c r="B18" i="82"/>
  <c r="C18" i="82"/>
  <c r="D18" i="82" s="1"/>
  <c r="E18" i="82"/>
  <c r="B10" i="82"/>
  <c r="C10" i="82"/>
  <c r="D10" i="82" s="1"/>
  <c r="E10" i="82"/>
  <c r="E7" i="83"/>
  <c r="B7" i="83"/>
  <c r="C7" i="83"/>
  <c r="D7" i="83" s="1"/>
  <c r="E20" i="84"/>
  <c r="BF26" i="85" s="1"/>
  <c r="B20" i="84"/>
  <c r="BD26" i="85" s="1"/>
  <c r="C20" i="84"/>
  <c r="D20" i="84" s="1"/>
  <c r="BE26" i="85" s="1"/>
  <c r="E12" i="84"/>
  <c r="BF18" i="85" s="1"/>
  <c r="B12" i="84"/>
  <c r="BD18" i="85" s="1"/>
  <c r="C12" i="84"/>
  <c r="D12" i="84" s="1"/>
  <c r="BE18" i="85" s="1"/>
  <c r="E4" i="84"/>
  <c r="B4" i="84"/>
  <c r="C4" i="84"/>
  <c r="D4" i="84" s="1"/>
  <c r="B12" i="81"/>
  <c r="C12" i="81"/>
  <c r="D12" i="81" s="1"/>
  <c r="E12" i="81"/>
  <c r="E4" i="81"/>
  <c r="B4" i="81"/>
  <c r="C4" i="81"/>
  <c r="D4" i="81" s="1"/>
  <c r="E9" i="82"/>
  <c r="C9" i="82"/>
  <c r="D9" i="82" s="1"/>
  <c r="B9" i="82"/>
  <c r="C14" i="83"/>
  <c r="D14" i="83" s="1"/>
  <c r="E14" i="83"/>
  <c r="B14" i="83"/>
  <c r="C6" i="83"/>
  <c r="D6" i="83" s="1"/>
  <c r="E6" i="83"/>
  <c r="B6" i="83"/>
  <c r="C19" i="84"/>
  <c r="D19" i="84" s="1"/>
  <c r="BE25" i="85" s="1"/>
  <c r="E19" i="84"/>
  <c r="BF25" i="85" s="1"/>
  <c r="B19" i="84"/>
  <c r="BD25" i="85" s="1"/>
  <c r="C11" i="84"/>
  <c r="D11" i="84" s="1"/>
  <c r="E11" i="84"/>
  <c r="B11" i="84"/>
  <c r="C3" i="84"/>
  <c r="D3" i="84" s="1"/>
  <c r="E3" i="84"/>
  <c r="B3" i="84"/>
  <c r="E19" i="81"/>
  <c r="B19" i="81"/>
  <c r="C19" i="81"/>
  <c r="D19" i="81" s="1"/>
  <c r="E11" i="81"/>
  <c r="B11" i="81"/>
  <c r="C11" i="81"/>
  <c r="D11" i="81" s="1"/>
  <c r="B3" i="81"/>
  <c r="C3" i="81"/>
  <c r="D3" i="81" s="1"/>
  <c r="E3" i="81"/>
  <c r="B16" i="82"/>
  <c r="E16" i="82"/>
  <c r="C16" i="82"/>
  <c r="D16" i="82" s="1"/>
  <c r="B8" i="82"/>
  <c r="E8" i="82"/>
  <c r="C8" i="82"/>
  <c r="D8" i="82" s="1"/>
  <c r="B21" i="83"/>
  <c r="C21" i="83"/>
  <c r="D21" i="83" s="1"/>
  <c r="E21" i="83"/>
  <c r="B13" i="83"/>
  <c r="C13" i="83"/>
  <c r="D13" i="83" s="1"/>
  <c r="E13" i="83"/>
  <c r="B5" i="83"/>
  <c r="C5" i="83"/>
  <c r="D5" i="83" s="1"/>
  <c r="E5" i="83"/>
  <c r="B18" i="84"/>
  <c r="BD24" i="85" s="1"/>
  <c r="C18" i="84"/>
  <c r="D18" i="84" s="1"/>
  <c r="BE24" i="85" s="1"/>
  <c r="E18" i="84"/>
  <c r="BF24" i="85" s="1"/>
  <c r="B10" i="84"/>
  <c r="C10" i="84"/>
  <c r="D10" i="84" s="1"/>
  <c r="E10" i="84"/>
  <c r="C7" i="81"/>
  <c r="D7" i="81" s="1"/>
  <c r="B7" i="81"/>
  <c r="E7" i="81"/>
  <c r="C20" i="82"/>
  <c r="D20" i="82" s="1"/>
  <c r="E20" i="82"/>
  <c r="B20" i="82"/>
  <c r="B4" i="82"/>
  <c r="C4" i="82"/>
  <c r="D4" i="82" s="1"/>
  <c r="E4" i="82"/>
  <c r="B17" i="83"/>
  <c r="C17" i="83"/>
  <c r="D17" i="83" s="1"/>
  <c r="E17" i="83"/>
  <c r="B14" i="84"/>
  <c r="BD20" i="85" s="1"/>
  <c r="C14" i="84"/>
  <c r="D14" i="84" s="1"/>
  <c r="BE20" i="85" s="1"/>
  <c r="E14" i="84"/>
  <c r="BF20" i="85" s="1"/>
  <c r="C6" i="81"/>
  <c r="D6" i="81" s="1"/>
  <c r="B6" i="81"/>
  <c r="E6" i="81"/>
  <c r="C11" i="82"/>
  <c r="D11" i="82" s="1"/>
  <c r="E11" i="82"/>
  <c r="B11" i="82"/>
  <c r="B16" i="83"/>
  <c r="C16" i="83"/>
  <c r="D16" i="83" s="1"/>
  <c r="E16" i="83"/>
  <c r="B21" i="84"/>
  <c r="BD27" i="85" s="1"/>
  <c r="C21" i="84"/>
  <c r="D21" i="84" s="1"/>
  <c r="BE27" i="85" s="1"/>
  <c r="E21" i="84"/>
  <c r="BF27" i="85" s="1"/>
  <c r="E5" i="84"/>
  <c r="B5" i="84"/>
  <c r="C5" i="84"/>
  <c r="D5" i="84" s="1"/>
  <c r="B21" i="81"/>
  <c r="C21" i="81"/>
  <c r="D21" i="81" s="1"/>
  <c r="E21" i="81"/>
  <c r="E15" i="83"/>
  <c r="B15" i="83"/>
  <c r="C15" i="83"/>
  <c r="D15" i="83" s="1"/>
  <c r="B20" i="81"/>
  <c r="C20" i="81"/>
  <c r="D20" i="81" s="1"/>
  <c r="E20" i="81"/>
  <c r="E17" i="82"/>
  <c r="C17" i="82"/>
  <c r="D17" i="82" s="1"/>
  <c r="B17" i="82"/>
  <c r="B18" i="81"/>
  <c r="C18" i="81"/>
  <c r="D18" i="81" s="1"/>
  <c r="E18" i="81"/>
  <c r="B10" i="81"/>
  <c r="C10" i="81"/>
  <c r="D10" i="81" s="1"/>
  <c r="E10" i="81"/>
  <c r="AQ27" i="85"/>
  <c r="AO26" i="85"/>
  <c r="AM25" i="85"/>
  <c r="AQ23" i="85"/>
  <c r="AO22" i="85"/>
  <c r="AR22" i="85" s="1"/>
  <c r="AM21" i="85"/>
  <c r="AQ19" i="85"/>
  <c r="AO18" i="85"/>
  <c r="AM13" i="85"/>
  <c r="AM9" i="85"/>
  <c r="AM5" i="85"/>
  <c r="AM27" i="85"/>
  <c r="AQ25" i="85"/>
  <c r="AO24" i="85"/>
  <c r="AM23" i="85"/>
  <c r="AQ21" i="85"/>
  <c r="AO20" i="85"/>
  <c r="AM19" i="85"/>
  <c r="AM11" i="85"/>
  <c r="AM7" i="85"/>
  <c r="AL27" i="85"/>
  <c r="AP25" i="85"/>
  <c r="AN24" i="85"/>
  <c r="AL23" i="85"/>
  <c r="AP21" i="85"/>
  <c r="AN20" i="85"/>
  <c r="AL19" i="85"/>
  <c r="AN12" i="85"/>
  <c r="AL11" i="85"/>
  <c r="AN8" i="85"/>
  <c r="AL7" i="85"/>
  <c r="AN4" i="85"/>
  <c r="E2" i="82"/>
  <c r="AQ26" i="85"/>
  <c r="AO25" i="85"/>
  <c r="AM24" i="85"/>
  <c r="AQ22" i="85"/>
  <c r="AO21" i="85"/>
  <c r="AM20" i="85"/>
  <c r="AQ18" i="85"/>
  <c r="AM12" i="85"/>
  <c r="AM8" i="85"/>
  <c r="AM4" i="85"/>
  <c r="AP26" i="85"/>
  <c r="AN25" i="85"/>
  <c r="AL24" i="85"/>
  <c r="AP22" i="85"/>
  <c r="AN21" i="85"/>
  <c r="AL20" i="85"/>
  <c r="AP18" i="85"/>
  <c r="AN13" i="85"/>
  <c r="AL12" i="85"/>
  <c r="AN9" i="85"/>
  <c r="AL8" i="85"/>
  <c r="AN5" i="85"/>
  <c r="AL4" i="85"/>
  <c r="AQ24" i="85"/>
  <c r="AL21" i="85"/>
  <c r="AL18" i="85"/>
  <c r="AM10" i="85"/>
  <c r="AN6" i="85"/>
  <c r="B2" i="82"/>
  <c r="AP23" i="85"/>
  <c r="AL6" i="85"/>
  <c r="AP27" i="85"/>
  <c r="AP24" i="85"/>
  <c r="AR24" i="85" s="1"/>
  <c r="AQ20" i="85"/>
  <c r="AR20" i="85" s="1"/>
  <c r="AL13" i="85"/>
  <c r="AL10" i="85"/>
  <c r="AM6" i="85"/>
  <c r="AO27" i="85"/>
  <c r="AP20" i="85"/>
  <c r="AL9" i="85"/>
  <c r="AM26" i="85"/>
  <c r="AN19" i="85"/>
  <c r="AN27" i="85"/>
  <c r="AO23" i="85"/>
  <c r="AP19" i="85"/>
  <c r="AL5" i="85"/>
  <c r="AN26" i="85"/>
  <c r="AN23" i="85"/>
  <c r="AO19" i="85"/>
  <c r="AN22" i="85"/>
  <c r="AN10" i="85"/>
  <c r="C2" i="82"/>
  <c r="D2" i="82" s="1"/>
  <c r="AN7" i="85"/>
  <c r="AM22" i="85"/>
  <c r="AL22" i="85"/>
  <c r="AL26" i="85"/>
  <c r="AL25" i="85"/>
  <c r="AN18" i="85"/>
  <c r="AM18" i="85"/>
  <c r="AN11" i="85"/>
  <c r="B15" i="82"/>
  <c r="C15" i="82"/>
  <c r="D15" i="82" s="1"/>
  <c r="E15" i="82"/>
  <c r="B7" i="82"/>
  <c r="C7" i="82"/>
  <c r="D7" i="82" s="1"/>
  <c r="E7" i="82"/>
  <c r="B20" i="83"/>
  <c r="C20" i="83"/>
  <c r="D20" i="83" s="1"/>
  <c r="E20" i="83"/>
  <c r="B12" i="83"/>
  <c r="C12" i="83"/>
  <c r="D12" i="83" s="1"/>
  <c r="E12" i="83"/>
  <c r="B4" i="83"/>
  <c r="C4" i="83"/>
  <c r="D4" i="83" s="1"/>
  <c r="E4" i="83"/>
  <c r="B17" i="84"/>
  <c r="BD23" i="85" s="1"/>
  <c r="C17" i="84"/>
  <c r="D17" i="84" s="1"/>
  <c r="BE23" i="85" s="1"/>
  <c r="E17" i="84"/>
  <c r="BF23" i="85" s="1"/>
  <c r="B9" i="84"/>
  <c r="C9" i="84"/>
  <c r="D9" i="84" s="1"/>
  <c r="E9" i="84"/>
  <c r="AE23" i="85"/>
  <c r="AE13" i="85"/>
  <c r="AE25" i="85"/>
  <c r="AE6" i="85"/>
  <c r="AE10" i="85"/>
  <c r="AE19" i="85"/>
  <c r="AE24" i="85"/>
  <c r="AE5" i="85"/>
  <c r="AE9" i="85"/>
  <c r="AE4" i="85"/>
  <c r="AE8" i="85"/>
  <c r="AE11" i="85"/>
  <c r="AE22" i="85"/>
  <c r="AE12" i="85"/>
  <c r="E2" i="81"/>
  <c r="AE20" i="85" s="1"/>
  <c r="B2" i="81"/>
  <c r="AC4" i="85" s="1"/>
  <c r="AE26" i="85"/>
  <c r="C2" i="81"/>
  <c r="D2" i="81" s="1"/>
  <c r="AD19" i="85" s="1"/>
  <c r="AE7" i="85"/>
  <c r="AE18" i="85"/>
  <c r="AE27" i="85"/>
  <c r="B13" i="81"/>
  <c r="E13" i="81"/>
  <c r="C13" i="81"/>
  <c r="D13" i="81" s="1"/>
  <c r="AV27" i="85"/>
  <c r="AZ25" i="85"/>
  <c r="AX24" i="85"/>
  <c r="AV23" i="85"/>
  <c r="AZ21" i="85"/>
  <c r="AX20" i="85"/>
  <c r="AV19" i="85"/>
  <c r="AV11" i="85"/>
  <c r="AV7" i="85"/>
  <c r="B2" i="83"/>
  <c r="AU27" i="85"/>
  <c r="AY26" i="85"/>
  <c r="AW25" i="85"/>
  <c r="AU24" i="85"/>
  <c r="AZ27" i="85"/>
  <c r="AX26" i="85"/>
  <c r="BA26" i="85" s="1"/>
  <c r="AV25" i="85"/>
  <c r="AZ23" i="85"/>
  <c r="AX22" i="85"/>
  <c r="AV21" i="85"/>
  <c r="AZ19" i="85"/>
  <c r="AX18" i="85"/>
  <c r="AV13" i="85"/>
  <c r="AV9" i="85"/>
  <c r="AV5" i="85"/>
  <c r="AY27" i="85"/>
  <c r="AW26" i="85"/>
  <c r="AU25" i="85"/>
  <c r="AY23" i="85"/>
  <c r="AW22" i="85"/>
  <c r="AU21" i="85"/>
  <c r="AY19" i="85"/>
  <c r="AW18" i="85"/>
  <c r="AU13" i="85"/>
  <c r="AW10" i="85"/>
  <c r="AU9" i="85"/>
  <c r="AW6" i="85"/>
  <c r="AU5" i="85"/>
  <c r="AX27" i="85"/>
  <c r="AV26" i="85"/>
  <c r="AZ24" i="85"/>
  <c r="AX23" i="85"/>
  <c r="BA23" i="85" s="1"/>
  <c r="AV22" i="85"/>
  <c r="AZ20" i="85"/>
  <c r="AX19" i="85"/>
  <c r="AV18" i="85"/>
  <c r="AV10" i="85"/>
  <c r="AV6" i="85"/>
  <c r="E2" i="83"/>
  <c r="AW27" i="85"/>
  <c r="AU26" i="85"/>
  <c r="AY24" i="85"/>
  <c r="AW23" i="85"/>
  <c r="AU22" i="85"/>
  <c r="AY20" i="85"/>
  <c r="AW19" i="85"/>
  <c r="AU18" i="85"/>
  <c r="AW11" i="85"/>
  <c r="AU10" i="85"/>
  <c r="AW7" i="85"/>
  <c r="AU6" i="85"/>
  <c r="AV24" i="85"/>
  <c r="AV20" i="85"/>
  <c r="AW12" i="85"/>
  <c r="AW9" i="85"/>
  <c r="AU19" i="85"/>
  <c r="AW4" i="85"/>
  <c r="AY25" i="85"/>
  <c r="AU23" i="85"/>
  <c r="AU20" i="85"/>
  <c r="AV12" i="85"/>
  <c r="AW8" i="85"/>
  <c r="AW5" i="85"/>
  <c r="AU12" i="85"/>
  <c r="AV8" i="85"/>
  <c r="AZ22" i="85"/>
  <c r="AX21" i="85"/>
  <c r="AY22" i="85"/>
  <c r="AZ18" i="85"/>
  <c r="AU11" i="85"/>
  <c r="AU8" i="85"/>
  <c r="AV4" i="85"/>
  <c r="AZ26" i="85"/>
  <c r="AY21" i="85"/>
  <c r="AY18" i="85"/>
  <c r="AU7" i="85"/>
  <c r="AU4" i="85"/>
  <c r="AW13" i="85"/>
  <c r="AX25" i="85"/>
  <c r="AW24" i="85"/>
  <c r="C2" i="83"/>
  <c r="D2" i="83" s="1"/>
  <c r="AW21" i="85"/>
  <c r="AW20" i="85"/>
  <c r="B17" i="81"/>
  <c r="E17" i="81"/>
  <c r="C17" i="81"/>
  <c r="D17" i="81" s="1"/>
  <c r="B9" i="81"/>
  <c r="C9" i="81"/>
  <c r="D9" i="81" s="1"/>
  <c r="E9" i="81"/>
  <c r="C14" i="82"/>
  <c r="D14" i="82" s="1"/>
  <c r="E14" i="82"/>
  <c r="B14" i="82"/>
  <c r="B6" i="82"/>
  <c r="C6" i="82"/>
  <c r="D6" i="82" s="1"/>
  <c r="E6" i="82"/>
  <c r="E19" i="83"/>
  <c r="C19" i="83"/>
  <c r="D19" i="83" s="1"/>
  <c r="B19" i="83"/>
  <c r="E11" i="83"/>
  <c r="B11" i="83"/>
  <c r="C11" i="83"/>
  <c r="D11" i="83" s="1"/>
  <c r="E3" i="83"/>
  <c r="C3" i="83"/>
  <c r="D3" i="83" s="1"/>
  <c r="B3" i="83"/>
  <c r="E16" i="84"/>
  <c r="BF22" i="85" s="1"/>
  <c r="C16" i="84"/>
  <c r="D16" i="84" s="1"/>
  <c r="BE22" i="85" s="1"/>
  <c r="B16" i="84"/>
  <c r="BD22" i="85" s="1"/>
  <c r="E8" i="84"/>
  <c r="B8" i="84"/>
  <c r="C8" i="84"/>
  <c r="D8" i="84" s="1"/>
  <c r="BE10" i="85" s="1"/>
  <c r="B16" i="81"/>
  <c r="C16" i="81"/>
  <c r="D16" i="81" s="1"/>
  <c r="E16" i="81"/>
  <c r="E8" i="81"/>
  <c r="B8" i="81"/>
  <c r="C8" i="81"/>
  <c r="D8" i="81" s="1"/>
  <c r="C21" i="82"/>
  <c r="D21" i="82" s="1"/>
  <c r="B21" i="82"/>
  <c r="E21" i="82"/>
  <c r="B13" i="82"/>
  <c r="E13" i="82"/>
  <c r="C13" i="82"/>
  <c r="D13" i="82" s="1"/>
  <c r="C5" i="82"/>
  <c r="D5" i="82" s="1"/>
  <c r="B5" i="82"/>
  <c r="E5" i="82"/>
  <c r="C18" i="83"/>
  <c r="D18" i="83" s="1"/>
  <c r="B18" i="83"/>
  <c r="E18" i="83"/>
  <c r="C10" i="83"/>
  <c r="D10" i="83" s="1"/>
  <c r="B10" i="83"/>
  <c r="E10" i="83"/>
  <c r="C2" i="84"/>
  <c r="D2" i="84" s="1"/>
  <c r="BE4" i="85" s="1"/>
  <c r="E2" i="84"/>
  <c r="BF4" i="85" s="1"/>
  <c r="B2" i="84"/>
  <c r="BD4" i="85" s="1"/>
  <c r="C15" i="84"/>
  <c r="D15" i="84" s="1"/>
  <c r="BE21" i="85" s="1"/>
  <c r="B15" i="84"/>
  <c r="BD21" i="85" s="1"/>
  <c r="E15" i="84"/>
  <c r="BF21" i="85" s="1"/>
  <c r="C7" i="84"/>
  <c r="D7" i="84" s="1"/>
  <c r="BE9" i="85" s="1"/>
  <c r="B7" i="84"/>
  <c r="E7" i="84"/>
  <c r="BA19" i="85"/>
  <c r="AR25" i="85"/>
  <c r="AR27" i="85"/>
  <c r="C20" i="44"/>
  <c r="E20" i="44"/>
  <c r="B20" i="44"/>
  <c r="F20" i="44" s="1"/>
  <c r="F12" i="44"/>
  <c r="F4" i="44"/>
  <c r="B21" i="44"/>
  <c r="F21" i="44" s="1"/>
  <c r="C21" i="44"/>
  <c r="E21" i="44"/>
  <c r="C19" i="44"/>
  <c r="E19" i="44"/>
  <c r="B19" i="44"/>
  <c r="F19" i="44" s="1"/>
  <c r="F11" i="44"/>
  <c r="F3" i="44"/>
  <c r="F14" i="44"/>
  <c r="C18" i="44"/>
  <c r="E18" i="44"/>
  <c r="B18" i="44"/>
  <c r="F18" i="44" s="1"/>
  <c r="F10" i="44"/>
  <c r="F13" i="44"/>
  <c r="B17" i="44"/>
  <c r="F17" i="44" s="1"/>
  <c r="E17" i="44"/>
  <c r="C17" i="44"/>
  <c r="F9" i="44"/>
  <c r="B22" i="44"/>
  <c r="F22" i="44" s="1"/>
  <c r="C22" i="44"/>
  <c r="E22" i="44"/>
  <c r="E16" i="44"/>
  <c r="B16" i="44"/>
  <c r="F16" i="44" s="1"/>
  <c r="C16" i="44"/>
  <c r="F8" i="44"/>
  <c r="F6" i="44"/>
  <c r="F5" i="44"/>
  <c r="V5" i="85"/>
  <c r="F15" i="44"/>
  <c r="F7" i="44"/>
  <c r="BA22" i="85" l="1"/>
  <c r="BA18" i="85"/>
  <c r="AR19" i="85"/>
  <c r="BA24" i="85"/>
  <c r="AR21" i="85"/>
  <c r="BA27" i="85"/>
  <c r="BA25" i="85"/>
  <c r="T11" i="85"/>
  <c r="AE21" i="85"/>
  <c r="AD24" i="85"/>
  <c r="AD18" i="85"/>
  <c r="AD23" i="85"/>
  <c r="AD7" i="85"/>
  <c r="AD6" i="85"/>
  <c r="AD26" i="85"/>
  <c r="AD25" i="85"/>
  <c r="AD4" i="85"/>
  <c r="AD10" i="85"/>
  <c r="AD12" i="85"/>
  <c r="AD21" i="85"/>
  <c r="AD20" i="85"/>
  <c r="AD13" i="85"/>
  <c r="AD5" i="85"/>
  <c r="AD8" i="85"/>
  <c r="AD11" i="85"/>
  <c r="AD27" i="85"/>
  <c r="AD22" i="85"/>
  <c r="AD9" i="85"/>
  <c r="T21" i="85"/>
  <c r="T24" i="85"/>
  <c r="T20" i="85"/>
  <c r="T18" i="85"/>
  <c r="T26" i="85"/>
  <c r="T23" i="85"/>
  <c r="T22" i="85"/>
  <c r="T27" i="85"/>
  <c r="T25" i="85"/>
  <c r="T19" i="85"/>
  <c r="V26" i="85"/>
  <c r="V20" i="85"/>
  <c r="V23" i="85"/>
  <c r="V18" i="85"/>
  <c r="V25" i="85"/>
  <c r="V22" i="85"/>
  <c r="V24" i="85"/>
  <c r="V27" i="85"/>
  <c r="V21" i="85"/>
  <c r="V19" i="85"/>
  <c r="AC7" i="85"/>
  <c r="AC12" i="85"/>
  <c r="AC23" i="85"/>
  <c r="AC22" i="85"/>
  <c r="AC25" i="85"/>
  <c r="AC6" i="85"/>
  <c r="AC10" i="85"/>
  <c r="AC18" i="85"/>
  <c r="AC27" i="85"/>
  <c r="AC13" i="85"/>
  <c r="AC5" i="85"/>
  <c r="AC19" i="85"/>
  <c r="AC11" i="85"/>
  <c r="AC8" i="85"/>
  <c r="AC21" i="85"/>
  <c r="AC26" i="85"/>
  <c r="AC9" i="85"/>
  <c r="AC24" i="85"/>
  <c r="AC20" i="85"/>
  <c r="AR26" i="85"/>
  <c r="AR23" i="85"/>
  <c r="BA20" i="85"/>
  <c r="AR18" i="85"/>
  <c r="BA21" i="85"/>
  <c r="BF9" i="85"/>
  <c r="BF10" i="85"/>
  <c r="BD5" i="85"/>
  <c r="T4" i="85"/>
  <c r="V9" i="85"/>
  <c r="T7" i="85"/>
  <c r="BE6" i="85"/>
  <c r="BD9" i="85"/>
  <c r="BF5" i="85"/>
  <c r="V4" i="85"/>
  <c r="BD6" i="85"/>
  <c r="BF11" i="85"/>
  <c r="BF12" i="85"/>
  <c r="BE5" i="85"/>
  <c r="V7" i="85"/>
  <c r="V10" i="85"/>
  <c r="V11" i="85"/>
  <c r="V6" i="85"/>
  <c r="T8" i="85"/>
  <c r="BF6" i="85"/>
  <c r="BE11" i="85"/>
  <c r="BE12" i="85"/>
  <c r="BD13" i="85"/>
  <c r="T6" i="85"/>
  <c r="BD11" i="85"/>
  <c r="BE7" i="85"/>
  <c r="BD12" i="85"/>
  <c r="BF13" i="85"/>
  <c r="T12" i="85"/>
  <c r="T9" i="85"/>
  <c r="V12" i="85"/>
  <c r="V8" i="85"/>
  <c r="BF8" i="85"/>
  <c r="BD7" i="85"/>
  <c r="BE13" i="85"/>
  <c r="V13" i="85"/>
  <c r="BE8" i="85"/>
  <c r="BF7" i="85"/>
  <c r="T10" i="85"/>
  <c r="BD8" i="85"/>
  <c r="BD10" i="85"/>
  <c r="T13" i="85"/>
  <c r="T5" i="85"/>
  <c r="BA28" i="85" l="1"/>
  <c r="AR28" i="85"/>
  <c r="F21" i="84"/>
  <c r="BG27" i="85" s="1"/>
  <c r="F18" i="84"/>
  <c r="BG24" i="85" s="1"/>
  <c r="F16" i="84"/>
  <c r="BG22" i="85" s="1"/>
  <c r="F10" i="84"/>
  <c r="F8" i="84"/>
  <c r="F5" i="84"/>
  <c r="G2" i="84"/>
  <c r="BH4" i="85" s="1"/>
  <c r="H17" i="83"/>
  <c r="F16" i="83"/>
  <c r="H9" i="83"/>
  <c r="F8" i="83"/>
  <c r="F5" i="83"/>
  <c r="H2" i="83"/>
  <c r="F21" i="82"/>
  <c r="F18" i="82"/>
  <c r="F16" i="82"/>
  <c r="F13" i="82"/>
  <c r="F10" i="82"/>
  <c r="F8" i="82"/>
  <c r="F5" i="82"/>
  <c r="H2" i="82"/>
  <c r="F8" i="81"/>
  <c r="H7" i="81"/>
  <c r="F5" i="81"/>
  <c r="F2" i="81"/>
  <c r="AF18" i="85" l="1"/>
  <c r="AF20" i="85"/>
  <c r="AF24" i="85"/>
  <c r="AF23" i="85"/>
  <c r="AF25" i="85"/>
  <c r="AF27" i="85"/>
  <c r="AF21" i="85"/>
  <c r="AF26" i="85"/>
  <c r="AF19" i="85"/>
  <c r="AF22" i="85"/>
  <c r="AF11" i="85"/>
  <c r="AF5" i="85"/>
  <c r="AF4" i="85"/>
  <c r="AF6" i="85"/>
  <c r="AF8" i="85"/>
  <c r="AF7" i="85"/>
  <c r="AF9" i="85"/>
  <c r="AF10" i="85"/>
  <c r="AF12" i="85"/>
  <c r="AF13" i="85"/>
  <c r="AQ6" i="85"/>
  <c r="AQ12" i="85"/>
  <c r="AQ7" i="85"/>
  <c r="AQ5" i="85"/>
  <c r="AQ4" i="85"/>
  <c r="AQ13" i="85"/>
  <c r="AQ8" i="85"/>
  <c r="AQ10" i="85"/>
  <c r="AQ11" i="85"/>
  <c r="AQ9" i="85"/>
  <c r="AZ5" i="85"/>
  <c r="AZ11" i="85"/>
  <c r="AZ8" i="85"/>
  <c r="AZ13" i="85"/>
  <c r="AZ6" i="85"/>
  <c r="AZ7" i="85"/>
  <c r="AZ4" i="85"/>
  <c r="AZ9" i="85"/>
  <c r="AZ12" i="85"/>
  <c r="AZ10" i="85"/>
  <c r="F16" i="81"/>
  <c r="H14" i="83"/>
  <c r="H21" i="82"/>
  <c r="F15" i="81"/>
  <c r="F11" i="82"/>
  <c r="H12" i="83"/>
  <c r="H9" i="81"/>
  <c r="F12" i="83"/>
  <c r="H3" i="83"/>
  <c r="G2" i="81"/>
  <c r="F19" i="82"/>
  <c r="H8" i="82"/>
  <c r="H9" i="84"/>
  <c r="F9" i="84"/>
  <c r="H11" i="83"/>
  <c r="H2" i="81"/>
  <c r="H6" i="82"/>
  <c r="H12" i="81"/>
  <c r="H4" i="81"/>
  <c r="F18" i="83"/>
  <c r="F10" i="83"/>
  <c r="H16" i="84"/>
  <c r="BI22" i="85" s="1"/>
  <c r="F7" i="84"/>
  <c r="F7" i="81"/>
  <c r="H18" i="81"/>
  <c r="H10" i="81"/>
  <c r="H13" i="82"/>
  <c r="H5" i="82"/>
  <c r="F18" i="81"/>
  <c r="F10" i="81"/>
  <c r="F12" i="82"/>
  <c r="F4" i="82"/>
  <c r="F9" i="83"/>
  <c r="H17" i="81"/>
  <c r="H11" i="84"/>
  <c r="G22" i="81"/>
  <c r="G12" i="81"/>
  <c r="G10" i="83"/>
  <c r="G7" i="84"/>
  <c r="BH9" i="85" s="1"/>
  <c r="G22" i="82"/>
  <c r="G18" i="81"/>
  <c r="G16" i="81"/>
  <c r="G4" i="82"/>
  <c r="G12" i="82"/>
  <c r="G20" i="82"/>
  <c r="G19" i="84"/>
  <c r="BH25" i="85" s="1"/>
  <c r="G12" i="83"/>
  <c r="G20" i="83"/>
  <c r="G9" i="84"/>
  <c r="BH11" i="85" s="1"/>
  <c r="G10" i="81"/>
  <c r="F6" i="84"/>
  <c r="H22" i="81"/>
  <c r="F20" i="81"/>
  <c r="H14" i="81"/>
  <c r="F12" i="81"/>
  <c r="H6" i="81"/>
  <c r="H18" i="82"/>
  <c r="H10" i="82"/>
  <c r="H22" i="83"/>
  <c r="F22" i="83"/>
  <c r="H16" i="83"/>
  <c r="F6" i="83"/>
  <c r="F19" i="84"/>
  <c r="BG25" i="85" s="1"/>
  <c r="H13" i="84"/>
  <c r="BI19" i="85" s="1"/>
  <c r="H5" i="84"/>
  <c r="F3" i="82"/>
  <c r="H19" i="83"/>
  <c r="F17" i="83"/>
  <c r="F22" i="84"/>
  <c r="H19" i="81"/>
  <c r="H3" i="81"/>
  <c r="F2" i="82"/>
  <c r="H15" i="82"/>
  <c r="H7" i="82"/>
  <c r="H21" i="83"/>
  <c r="H13" i="83"/>
  <c r="H5" i="83"/>
  <c r="H18" i="84"/>
  <c r="BI24" i="85" s="1"/>
  <c r="H10" i="84"/>
  <c r="BI12" i="85" s="1"/>
  <c r="G22" i="84"/>
  <c r="F22" i="82"/>
  <c r="F22" i="81"/>
  <c r="H16" i="81"/>
  <c r="F14" i="81"/>
  <c r="H8" i="81"/>
  <c r="H20" i="82"/>
  <c r="H12" i="82"/>
  <c r="H4" i="82"/>
  <c r="H18" i="83"/>
  <c r="H10" i="83"/>
  <c r="F2" i="84"/>
  <c r="BG4" i="85" s="1"/>
  <c r="H15" i="84"/>
  <c r="BI21" i="85" s="1"/>
  <c r="F13" i="84"/>
  <c r="BG19" i="85" s="1"/>
  <c r="H7" i="84"/>
  <c r="G15" i="81"/>
  <c r="H21" i="81"/>
  <c r="H13" i="81"/>
  <c r="F3" i="81"/>
  <c r="H17" i="82"/>
  <c r="H9" i="82"/>
  <c r="F2" i="83"/>
  <c r="H15" i="83"/>
  <c r="F13" i="83"/>
  <c r="H7" i="83"/>
  <c r="H20" i="84"/>
  <c r="BI26" i="85" s="1"/>
  <c r="H12" i="84"/>
  <c r="BI18" i="85" s="1"/>
  <c r="H4" i="84"/>
  <c r="G19" i="82"/>
  <c r="G3" i="82"/>
  <c r="H4" i="83"/>
  <c r="H17" i="84"/>
  <c r="BI23" i="85" s="1"/>
  <c r="G21" i="81"/>
  <c r="G13" i="81"/>
  <c r="G5" i="81"/>
  <c r="G7" i="83"/>
  <c r="G11" i="84"/>
  <c r="BH13" i="85" s="1"/>
  <c r="F21" i="81"/>
  <c r="H15" i="81"/>
  <c r="F13" i="81"/>
  <c r="H8" i="83"/>
  <c r="F7" i="83"/>
  <c r="H3" i="84"/>
  <c r="BI5" i="85" s="1"/>
  <c r="H22" i="84"/>
  <c r="H14" i="84"/>
  <c r="BI20" i="85" s="1"/>
  <c r="G22" i="83"/>
  <c r="G14" i="83"/>
  <c r="H14" i="82"/>
  <c r="H6" i="84"/>
  <c r="BI8" i="85" s="1"/>
  <c r="H19" i="84"/>
  <c r="BI25" i="85" s="1"/>
  <c r="H3" i="82"/>
  <c r="F15" i="84"/>
  <c r="BG21" i="85" s="1"/>
  <c r="H8" i="84"/>
  <c r="H21" i="84"/>
  <c r="BI27" i="85" s="1"/>
  <c r="H2" i="84"/>
  <c r="BI4" i="85" s="1"/>
  <c r="F3" i="84"/>
  <c r="BG5" i="85" s="1"/>
  <c r="F11" i="84"/>
  <c r="BG13" i="85" s="1"/>
  <c r="F14" i="84"/>
  <c r="BG20" i="85" s="1"/>
  <c r="F17" i="84"/>
  <c r="BG23" i="85" s="1"/>
  <c r="F4" i="84"/>
  <c r="BG6" i="85" s="1"/>
  <c r="F12" i="84"/>
  <c r="BG18" i="85" s="1"/>
  <c r="F20" i="84"/>
  <c r="BG26" i="85" s="1"/>
  <c r="F15" i="83"/>
  <c r="G18" i="83"/>
  <c r="H6" i="83"/>
  <c r="H20" i="83"/>
  <c r="F21" i="83"/>
  <c r="F3" i="83"/>
  <c r="F11" i="83"/>
  <c r="F19" i="83"/>
  <c r="F14" i="83"/>
  <c r="F4" i="83"/>
  <c r="F20" i="83"/>
  <c r="H16" i="82"/>
  <c r="F7" i="82"/>
  <c r="F15" i="82"/>
  <c r="H19" i="82"/>
  <c r="H22" i="82"/>
  <c r="F14" i="82"/>
  <c r="F9" i="82"/>
  <c r="F17" i="82"/>
  <c r="F6" i="82"/>
  <c r="H11" i="82"/>
  <c r="F20" i="82"/>
  <c r="H5" i="81"/>
  <c r="H11" i="81"/>
  <c r="H20" i="81"/>
  <c r="F6" i="81"/>
  <c r="F9" i="81"/>
  <c r="F17" i="81"/>
  <c r="F11" i="81"/>
  <c r="F19" i="81"/>
  <c r="F4" i="81"/>
  <c r="AH19" i="85" l="1"/>
  <c r="AH18" i="85"/>
  <c r="AH24" i="85"/>
  <c r="AH20" i="85"/>
  <c r="AH22" i="85"/>
  <c r="AH21" i="85"/>
  <c r="AH25" i="85"/>
  <c r="AH27" i="85"/>
  <c r="AH26" i="85"/>
  <c r="AH23" i="85"/>
  <c r="AI27" i="85"/>
  <c r="AI19" i="85"/>
  <c r="AG26" i="85"/>
  <c r="AI26" i="85" s="1"/>
  <c r="AG25" i="85"/>
  <c r="AG18" i="85"/>
  <c r="AI18" i="85" s="1"/>
  <c r="AG23" i="85"/>
  <c r="AG21" i="85"/>
  <c r="AG20" i="85"/>
  <c r="AI20" i="85" s="1"/>
  <c r="AG19" i="85"/>
  <c r="AG22" i="85"/>
  <c r="AI22" i="85" s="1"/>
  <c r="AG24" i="85"/>
  <c r="AI24" i="85" s="1"/>
  <c r="AG27" i="85"/>
  <c r="BJ25" i="85"/>
  <c r="BG9" i="85"/>
  <c r="BJ9" i="85" s="1"/>
  <c r="BG7" i="85"/>
  <c r="BG11" i="85"/>
  <c r="BJ11" i="85" s="1"/>
  <c r="BG10" i="85"/>
  <c r="BI11" i="85"/>
  <c r="AO10" i="85"/>
  <c r="AO8" i="85"/>
  <c r="AO5" i="85"/>
  <c r="AO6" i="85"/>
  <c r="AO4" i="85"/>
  <c r="AO13" i="85"/>
  <c r="AO11" i="85"/>
  <c r="AO7" i="85"/>
  <c r="AO12" i="85"/>
  <c r="AO9" i="85"/>
  <c r="BI9" i="85"/>
  <c r="AX5" i="85"/>
  <c r="AX4" i="85"/>
  <c r="AX10" i="85"/>
  <c r="AX7" i="85"/>
  <c r="AX12" i="85"/>
  <c r="AX13" i="85"/>
  <c r="AX6" i="85"/>
  <c r="AX9" i="85"/>
  <c r="AX8" i="85"/>
  <c r="AX11" i="85"/>
  <c r="BI10" i="85"/>
  <c r="BI6" i="85"/>
  <c r="BJ4" i="85"/>
  <c r="BG8" i="85"/>
  <c r="BI13" i="85"/>
  <c r="BJ13" i="85" s="1"/>
  <c r="AG11" i="85"/>
  <c r="AG8" i="85"/>
  <c r="AG12" i="85"/>
  <c r="AG4" i="85"/>
  <c r="AG6" i="85"/>
  <c r="AG5" i="85"/>
  <c r="AG10" i="85"/>
  <c r="AG7" i="85"/>
  <c r="AG13" i="85"/>
  <c r="AG9" i="85"/>
  <c r="BI7" i="85"/>
  <c r="AH12" i="85"/>
  <c r="AH6" i="85"/>
  <c r="AH4" i="85"/>
  <c r="AI4" i="85" s="1"/>
  <c r="AH7" i="85"/>
  <c r="AH8" i="85"/>
  <c r="AH5" i="85"/>
  <c r="AH9" i="85"/>
  <c r="AH13" i="85"/>
  <c r="AH10" i="85"/>
  <c r="AH11" i="85"/>
  <c r="AI11" i="85" s="1"/>
  <c r="BG12" i="85"/>
  <c r="G17" i="83"/>
  <c r="I17" i="83" s="1"/>
  <c r="G8" i="82"/>
  <c r="I8" i="82" s="1"/>
  <c r="G11" i="82"/>
  <c r="I11" i="82" s="1"/>
  <c r="G17" i="82"/>
  <c r="I17" i="82" s="1"/>
  <c r="I2" i="81"/>
  <c r="G2" i="83"/>
  <c r="I5" i="81"/>
  <c r="I2" i="84"/>
  <c r="G16" i="82"/>
  <c r="I16" i="82" s="1"/>
  <c r="G4" i="81"/>
  <c r="I4" i="81" s="1"/>
  <c r="G15" i="83"/>
  <c r="G4" i="84"/>
  <c r="G7" i="81"/>
  <c r="I7" i="81" s="1"/>
  <c r="G20" i="84"/>
  <c r="I18" i="81"/>
  <c r="I15" i="81"/>
  <c r="I18" i="83"/>
  <c r="I13" i="81"/>
  <c r="I7" i="83"/>
  <c r="G3" i="84"/>
  <c r="BH5" i="85" s="1"/>
  <c r="BJ5" i="85" s="1"/>
  <c r="G14" i="84"/>
  <c r="I10" i="81"/>
  <c r="I10" i="83"/>
  <c r="I12" i="83"/>
  <c r="I16" i="81"/>
  <c r="G9" i="83"/>
  <c r="I9" i="83" s="1"/>
  <c r="G8" i="81"/>
  <c r="I8" i="81" s="1"/>
  <c r="G19" i="81"/>
  <c r="I19" i="81" s="1"/>
  <c r="G5" i="84"/>
  <c r="G16" i="83"/>
  <c r="I16" i="83" s="1"/>
  <c r="G18" i="84"/>
  <c r="G7" i="82"/>
  <c r="I7" i="82" s="1"/>
  <c r="G11" i="81"/>
  <c r="I11" i="81" s="1"/>
  <c r="G10" i="82"/>
  <c r="I10" i="82" s="1"/>
  <c r="G17" i="81"/>
  <c r="I17" i="81" s="1"/>
  <c r="G8" i="84"/>
  <c r="G13" i="82"/>
  <c r="I13" i="82" s="1"/>
  <c r="G8" i="83"/>
  <c r="I8" i="83" s="1"/>
  <c r="H23" i="84"/>
  <c r="G4" i="83"/>
  <c r="I4" i="83" s="1"/>
  <c r="G5" i="83"/>
  <c r="I5" i="83" s="1"/>
  <c r="G15" i="82"/>
  <c r="I15" i="82" s="1"/>
  <c r="G18" i="82"/>
  <c r="I18" i="82" s="1"/>
  <c r="G11" i="83"/>
  <c r="I11" i="83" s="1"/>
  <c r="G16" i="84"/>
  <c r="G21" i="82"/>
  <c r="I21" i="82" s="1"/>
  <c r="H23" i="82"/>
  <c r="G19" i="83"/>
  <c r="I19" i="83" s="1"/>
  <c r="G20" i="81"/>
  <c r="I20" i="81" s="1"/>
  <c r="H23" i="81"/>
  <c r="G6" i="84"/>
  <c r="G13" i="83"/>
  <c r="I13" i="83" s="1"/>
  <c r="G2" i="82"/>
  <c r="G9" i="81"/>
  <c r="I9" i="81" s="1"/>
  <c r="G12" i="84"/>
  <c r="G21" i="83"/>
  <c r="I21" i="83" s="1"/>
  <c r="G3" i="81"/>
  <c r="G10" i="84"/>
  <c r="G13" i="84"/>
  <c r="G6" i="81"/>
  <c r="I6" i="81" s="1"/>
  <c r="I7" i="84"/>
  <c r="G6" i="82"/>
  <c r="I6" i="82" s="1"/>
  <c r="G15" i="84"/>
  <c r="G17" i="84"/>
  <c r="G14" i="82"/>
  <c r="I14" i="82" s="1"/>
  <c r="G6" i="83"/>
  <c r="I6" i="83" s="1"/>
  <c r="G21" i="84"/>
  <c r="G14" i="81"/>
  <c r="I14" i="81" s="1"/>
  <c r="G9" i="82"/>
  <c r="I9" i="82" s="1"/>
  <c r="G3" i="83"/>
  <c r="G5" i="82"/>
  <c r="I5" i="82" s="1"/>
  <c r="I11" i="84"/>
  <c r="I9" i="84"/>
  <c r="F23" i="84"/>
  <c r="I22" i="84"/>
  <c r="I19" i="84"/>
  <c r="I15" i="83"/>
  <c r="I20" i="83"/>
  <c r="H23" i="83"/>
  <c r="I14" i="83"/>
  <c r="F23" i="83"/>
  <c r="I22" i="83"/>
  <c r="I12" i="82"/>
  <c r="I3" i="82"/>
  <c r="I19" i="82"/>
  <c r="I4" i="82"/>
  <c r="I22" i="82"/>
  <c r="F23" i="82"/>
  <c r="I20" i="82"/>
  <c r="I12" i="81"/>
  <c r="I22" i="81"/>
  <c r="I21" i="81"/>
  <c r="F23" i="81"/>
  <c r="AI23" i="85" l="1"/>
  <c r="AI5" i="85"/>
  <c r="AI8" i="85"/>
  <c r="AI7" i="85"/>
  <c r="AI9" i="85"/>
  <c r="AI21" i="85"/>
  <c r="AI25" i="85"/>
  <c r="AI28" i="85"/>
  <c r="AI10" i="85"/>
  <c r="AI6" i="85"/>
  <c r="AI13" i="85"/>
  <c r="AI12" i="85"/>
  <c r="I2" i="83"/>
  <c r="AY11" i="85"/>
  <c r="BA11" i="85" s="1"/>
  <c r="AY8" i="85"/>
  <c r="BA8" i="85" s="1"/>
  <c r="AY13" i="85"/>
  <c r="AY7" i="85"/>
  <c r="AY4" i="85"/>
  <c r="BA4" i="85" s="1"/>
  <c r="AY10" i="85"/>
  <c r="BA10" i="85" s="1"/>
  <c r="AY9" i="85"/>
  <c r="AY6" i="85"/>
  <c r="BA6" i="85" s="1"/>
  <c r="AY12" i="85"/>
  <c r="BA12" i="85" s="1"/>
  <c r="AY5" i="85"/>
  <c r="BA5" i="85" s="1"/>
  <c r="AR13" i="85"/>
  <c r="I2" i="82"/>
  <c r="AP5" i="85"/>
  <c r="AR5" i="85" s="1"/>
  <c r="AP11" i="85"/>
  <c r="AP8" i="85"/>
  <c r="AP13" i="85"/>
  <c r="AP12" i="85"/>
  <c r="AP10" i="85"/>
  <c r="AR10" i="85" s="1"/>
  <c r="AP7" i="85"/>
  <c r="AR7" i="85" s="1"/>
  <c r="AP9" i="85"/>
  <c r="AR9" i="85" s="1"/>
  <c r="AP6" i="85"/>
  <c r="AR6" i="85" s="1"/>
  <c r="AP4" i="85"/>
  <c r="AR4" i="85" s="1"/>
  <c r="BA9" i="85"/>
  <c r="AR8" i="85"/>
  <c r="BA13" i="85"/>
  <c r="AR12" i="85"/>
  <c r="BA7" i="85"/>
  <c r="AR11" i="85"/>
  <c r="I6" i="84"/>
  <c r="BH8" i="85"/>
  <c r="BJ8" i="85" s="1"/>
  <c r="I21" i="84"/>
  <c r="BH27" i="85"/>
  <c r="BJ27" i="85" s="1"/>
  <c r="I13" i="84"/>
  <c r="BH19" i="85"/>
  <c r="BJ19" i="85" s="1"/>
  <c r="I10" i="84"/>
  <c r="BH12" i="85"/>
  <c r="BJ12" i="85" s="1"/>
  <c r="I17" i="84"/>
  <c r="BH23" i="85"/>
  <c r="BJ23" i="85" s="1"/>
  <c r="I18" i="84"/>
  <c r="BH24" i="85"/>
  <c r="BJ24" i="85" s="1"/>
  <c r="I15" i="84"/>
  <c r="BH21" i="85"/>
  <c r="BJ21" i="85" s="1"/>
  <c r="I12" i="84"/>
  <c r="BH18" i="85"/>
  <c r="BJ18" i="85" s="1"/>
  <c r="I20" i="84"/>
  <c r="BH26" i="85"/>
  <c r="BJ26" i="85" s="1"/>
  <c r="I16" i="84"/>
  <c r="BH22" i="85"/>
  <c r="BJ22" i="85" s="1"/>
  <c r="I5" i="84"/>
  <c r="BH7" i="85"/>
  <c r="BJ7" i="85" s="1"/>
  <c r="I14" i="84"/>
  <c r="BH20" i="85"/>
  <c r="BJ20" i="85" s="1"/>
  <c r="I8" i="84"/>
  <c r="BH10" i="85"/>
  <c r="BJ10" i="85" s="1"/>
  <c r="I4" i="84"/>
  <c r="BH6" i="85"/>
  <c r="BJ6" i="85" s="1"/>
  <c r="G23" i="84"/>
  <c r="I3" i="84"/>
  <c r="G23" i="83"/>
  <c r="I3" i="83"/>
  <c r="I23" i="83" s="1"/>
  <c r="I23" i="82"/>
  <c r="G23" i="82"/>
  <c r="G23" i="81"/>
  <c r="I3" i="81"/>
  <c r="AI14" i="85" l="1"/>
  <c r="I23" i="84"/>
  <c r="BA14" i="85"/>
  <c r="AR14" i="85"/>
  <c r="BJ14" i="85"/>
  <c r="BJ28" i="85"/>
  <c r="I23" i="81"/>
  <c r="R22" i="59" l="1"/>
  <c r="R23" i="59"/>
  <c r="R24" i="59"/>
  <c r="R25" i="59"/>
  <c r="R26" i="59"/>
  <c r="R21" i="59"/>
  <c r="R13" i="59"/>
  <c r="R14" i="59"/>
  <c r="R15" i="59"/>
  <c r="R16" i="59"/>
  <c r="R17" i="59"/>
  <c r="R12" i="59"/>
  <c r="R8" i="59"/>
  <c r="O22" i="59"/>
  <c r="O23" i="59"/>
  <c r="O24" i="59"/>
  <c r="O25" i="59"/>
  <c r="O26" i="59"/>
  <c r="O21" i="59"/>
  <c r="O13" i="59"/>
  <c r="O14" i="59"/>
  <c r="O15" i="59"/>
  <c r="O16" i="59"/>
  <c r="O17" i="59"/>
  <c r="O12" i="59"/>
  <c r="O8" i="59"/>
  <c r="L22" i="59"/>
  <c r="L23" i="59"/>
  <c r="L24" i="59"/>
  <c r="L25" i="59"/>
  <c r="L26" i="59"/>
  <c r="L21" i="59"/>
  <c r="L17" i="59"/>
  <c r="L8" i="59"/>
  <c r="I13" i="59"/>
  <c r="I14" i="59"/>
  <c r="I15" i="59"/>
  <c r="I16" i="59"/>
  <c r="I17" i="59"/>
  <c r="I18" i="59"/>
  <c r="I19" i="59"/>
  <c r="I20" i="59"/>
  <c r="I21" i="59"/>
  <c r="I22" i="59"/>
  <c r="I23" i="59"/>
  <c r="F13" i="59"/>
  <c r="F14" i="59"/>
  <c r="F15" i="59"/>
  <c r="F16" i="59"/>
  <c r="F17" i="59"/>
  <c r="F18" i="59"/>
  <c r="F19" i="59"/>
  <c r="F20" i="59"/>
  <c r="F21" i="59"/>
  <c r="F22" i="59"/>
  <c r="F23" i="59"/>
  <c r="F2" i="44" l="1"/>
  <c r="H12" i="44"/>
  <c r="H13" i="44"/>
  <c r="H21" i="44"/>
  <c r="H15" i="44"/>
  <c r="H18" i="44"/>
  <c r="H20" i="44"/>
  <c r="G22" i="44"/>
  <c r="W20" i="85" l="1"/>
  <c r="W24" i="85"/>
  <c r="W21" i="85"/>
  <c r="W19" i="85"/>
  <c r="W25" i="85"/>
  <c r="W22" i="85"/>
  <c r="W26" i="85"/>
  <c r="W23" i="85"/>
  <c r="W18" i="85"/>
  <c r="W27" i="85"/>
  <c r="W7" i="85"/>
  <c r="W5" i="85"/>
  <c r="W12" i="85"/>
  <c r="W13" i="85"/>
  <c r="W6" i="85"/>
  <c r="W10" i="85"/>
  <c r="W11" i="85"/>
  <c r="W9" i="85"/>
  <c r="W8" i="85"/>
  <c r="W4" i="85"/>
  <c r="H19" i="44"/>
  <c r="H11" i="44"/>
  <c r="H7" i="44"/>
  <c r="H5" i="44"/>
  <c r="H10" i="44"/>
  <c r="H3" i="44"/>
  <c r="D22" i="44"/>
  <c r="D16" i="44"/>
  <c r="D17" i="44"/>
  <c r="O18" i="59"/>
  <c r="R27" i="59"/>
  <c r="H8" i="44"/>
  <c r="H16" i="44"/>
  <c r="R18" i="59"/>
  <c r="L27" i="59"/>
  <c r="O27" i="59"/>
  <c r="H4" i="44"/>
  <c r="H17" i="44"/>
  <c r="H9" i="44"/>
  <c r="H22" i="44"/>
  <c r="H14" i="44"/>
  <c r="H6" i="44"/>
  <c r="G9" i="44" l="1"/>
  <c r="G4" i="44"/>
  <c r="G6" i="44"/>
  <c r="G14" i="44"/>
  <c r="G17" i="44"/>
  <c r="G16" i="44"/>
  <c r="G8" i="44"/>
  <c r="D18" i="44"/>
  <c r="D19" i="44"/>
  <c r="G12" i="44"/>
  <c r="D20" i="44"/>
  <c r="G20" i="44" s="1"/>
  <c r="I20" i="44" s="1"/>
  <c r="C21" i="59" s="1"/>
  <c r="I11" i="59" s="1"/>
  <c r="M19" i="85" s="1"/>
  <c r="D21" i="44"/>
  <c r="G21" i="44" s="1"/>
  <c r="F23" i="44"/>
  <c r="H2" i="44"/>
  <c r="I9" i="44"/>
  <c r="C10" i="59" s="1"/>
  <c r="I22" i="44"/>
  <c r="C23" i="59" s="1"/>
  <c r="Y22" i="85" l="1"/>
  <c r="Y24" i="85"/>
  <c r="Y21" i="85"/>
  <c r="Y23" i="85"/>
  <c r="Y19" i="85"/>
  <c r="Y18" i="85"/>
  <c r="Y26" i="85"/>
  <c r="Y25" i="85"/>
  <c r="Y27" i="85"/>
  <c r="Y20" i="85"/>
  <c r="Y10" i="85"/>
  <c r="Y4" i="85"/>
  <c r="Y8" i="85"/>
  <c r="Y6" i="85"/>
  <c r="Y13" i="85"/>
  <c r="Y11" i="85"/>
  <c r="Y9" i="85"/>
  <c r="Y7" i="85"/>
  <c r="Y5" i="85"/>
  <c r="Y12" i="85"/>
  <c r="I17" i="44"/>
  <c r="C18" i="59" s="1"/>
  <c r="G13" i="44"/>
  <c r="I13" i="44" s="1"/>
  <c r="C14" i="59" s="1"/>
  <c r="G3" i="44"/>
  <c r="G19" i="44"/>
  <c r="I19" i="44" s="1"/>
  <c r="C20" i="59" s="1"/>
  <c r="G11" i="44"/>
  <c r="G7" i="44"/>
  <c r="G15" i="44"/>
  <c r="G5" i="44"/>
  <c r="G10" i="44"/>
  <c r="G18" i="44"/>
  <c r="L6" i="59"/>
  <c r="I11" i="44"/>
  <c r="C12" i="59" s="1"/>
  <c r="F12" i="59" s="1"/>
  <c r="G20" i="85" s="1"/>
  <c r="I14" i="44"/>
  <c r="C15" i="59" s="1"/>
  <c r="I6" i="44"/>
  <c r="C7" i="59" s="1"/>
  <c r="I4" i="44"/>
  <c r="C5" i="59" s="1"/>
  <c r="I12" i="44"/>
  <c r="C13" i="59" s="1"/>
  <c r="R3" i="59"/>
  <c r="H23" i="44"/>
  <c r="I16" i="44"/>
  <c r="C17" i="59" s="1"/>
  <c r="I21" i="44"/>
  <c r="C22" i="59" s="1"/>
  <c r="I12" i="59" s="1"/>
  <c r="M20" i="85" s="1"/>
  <c r="I8" i="44"/>
  <c r="C9" i="59" s="1"/>
  <c r="U21" i="85" l="1"/>
  <c r="U22" i="85"/>
  <c r="U24" i="85"/>
  <c r="U23" i="85"/>
  <c r="U25" i="85"/>
  <c r="U27" i="85"/>
  <c r="U19" i="85"/>
  <c r="U26" i="85"/>
  <c r="U20" i="85"/>
  <c r="U18" i="85"/>
  <c r="U9" i="85"/>
  <c r="U5" i="85"/>
  <c r="U12" i="85"/>
  <c r="U8" i="85"/>
  <c r="U7" i="85"/>
  <c r="U13" i="85"/>
  <c r="U10" i="85"/>
  <c r="U11" i="85"/>
  <c r="U6" i="85"/>
  <c r="U4" i="85"/>
  <c r="I10" i="44"/>
  <c r="C11" i="59" s="1"/>
  <c r="F11" i="59" s="1"/>
  <c r="G19" i="85" s="1"/>
  <c r="I5" i="44"/>
  <c r="C6" i="59" s="1"/>
  <c r="I3" i="44"/>
  <c r="C4" i="59" s="1"/>
  <c r="I5" i="59" s="1"/>
  <c r="M13" i="85" s="1"/>
  <c r="I15" i="44"/>
  <c r="C16" i="59" s="1"/>
  <c r="F9" i="59" s="1"/>
  <c r="G17" i="85" s="1"/>
  <c r="G2" i="44"/>
  <c r="I7" i="44"/>
  <c r="C8" i="59" s="1"/>
  <c r="I18" i="44"/>
  <c r="C19" i="59" s="1"/>
  <c r="I9" i="59" s="1"/>
  <c r="M17" i="85" s="1"/>
  <c r="G23" i="44"/>
  <c r="L7" i="59"/>
  <c r="R7" i="59"/>
  <c r="R6" i="59"/>
  <c r="L13" i="59"/>
  <c r="F8" i="59"/>
  <c r="G16" i="85" s="1"/>
  <c r="O7" i="59"/>
  <c r="F10" i="59"/>
  <c r="G18" i="85" s="1"/>
  <c r="L4" i="59"/>
  <c r="I10" i="59"/>
  <c r="M18" i="85" s="1"/>
  <c r="I4" i="59"/>
  <c r="M12" i="85" s="1"/>
  <c r="L15" i="59"/>
  <c r="R5" i="59"/>
  <c r="L16" i="59"/>
  <c r="L3" i="59"/>
  <c r="X24" i="85" l="1"/>
  <c r="Z24" i="85" s="1"/>
  <c r="X22" i="85"/>
  <c r="Z22" i="85" s="1"/>
  <c r="X25" i="85"/>
  <c r="Z25" i="85" s="1"/>
  <c r="X26" i="85"/>
  <c r="Z26" i="85" s="1"/>
  <c r="X19" i="85"/>
  <c r="Z19" i="85" s="1"/>
  <c r="X27" i="85"/>
  <c r="Z27" i="85" s="1"/>
  <c r="X23" i="85"/>
  <c r="Z23" i="85" s="1"/>
  <c r="X18" i="85"/>
  <c r="Z18" i="85" s="1"/>
  <c r="X21" i="85"/>
  <c r="Z21" i="85" s="1"/>
  <c r="X20" i="85"/>
  <c r="Z20" i="85" s="1"/>
  <c r="X5" i="85"/>
  <c r="Z5" i="85" s="1"/>
  <c r="X10" i="85"/>
  <c r="Z10" i="85" s="1"/>
  <c r="X6" i="85"/>
  <c r="Z6" i="85" s="1"/>
  <c r="X13" i="85"/>
  <c r="Z13" i="85" s="1"/>
  <c r="X9" i="85"/>
  <c r="Z9" i="85" s="1"/>
  <c r="X8" i="85"/>
  <c r="Z8" i="85" s="1"/>
  <c r="X7" i="85"/>
  <c r="Z7" i="85" s="1"/>
  <c r="X12" i="85"/>
  <c r="Z12" i="85" s="1"/>
  <c r="X4" i="85"/>
  <c r="Z4" i="85" s="1"/>
  <c r="X11" i="85"/>
  <c r="Z11" i="85" s="1"/>
  <c r="I2" i="44"/>
  <c r="C3" i="59" s="1"/>
  <c r="F3" i="59" s="1"/>
  <c r="G11" i="85" s="1"/>
  <c r="I3" i="59"/>
  <c r="M11" i="85" s="1"/>
  <c r="L14" i="59"/>
  <c r="F5" i="59"/>
  <c r="G13" i="85" s="1"/>
  <c r="O3" i="59"/>
  <c r="I7" i="59"/>
  <c r="M15" i="85" s="1"/>
  <c r="R4" i="59"/>
  <c r="R9" i="59" s="1"/>
  <c r="I6" i="59"/>
  <c r="M14" i="85" s="1"/>
  <c r="L5" i="59"/>
  <c r="L9" i="59" s="1"/>
  <c r="I8" i="59"/>
  <c r="M16" i="85" s="1"/>
  <c r="O6" i="59"/>
  <c r="F6" i="59"/>
  <c r="G14" i="85" s="1"/>
  <c r="O5" i="59"/>
  <c r="F7" i="59"/>
  <c r="G15" i="85" s="1"/>
  <c r="L12" i="59"/>
  <c r="Z28" i="85" l="1"/>
  <c r="Z14" i="85"/>
  <c r="I23" i="44"/>
  <c r="M23" i="85"/>
  <c r="L18" i="59"/>
  <c r="F4" i="59"/>
  <c r="G12" i="85" s="1"/>
  <c r="O4" i="59"/>
  <c r="O9" i="59" s="1"/>
  <c r="I24" i="59"/>
  <c r="F24" i="59" l="1"/>
  <c r="G23" i="85"/>
</calcChain>
</file>

<file path=xl/sharedStrings.xml><?xml version="1.0" encoding="utf-8"?>
<sst xmlns="http://schemas.openxmlformats.org/spreadsheetml/2006/main" count="395" uniqueCount="88">
  <si>
    <t>Supervisor</t>
  </si>
  <si>
    <t>MEC Name</t>
  </si>
  <si>
    <t>Total Login Time</t>
  </si>
  <si>
    <t>AVG Login Time</t>
  </si>
  <si>
    <t>AVG Net Productive Time</t>
  </si>
  <si>
    <t>Productive Hours % of Login</t>
  </si>
  <si>
    <t>AVG AOT</t>
  </si>
  <si>
    <t>AVG Calls Per Day</t>
  </si>
  <si>
    <t>AVG Appts Scheduled</t>
  </si>
  <si>
    <t>Total Appts Scheduled</t>
  </si>
  <si>
    <t>Total Net Productive Time</t>
  </si>
  <si>
    <t>APH</t>
  </si>
  <si>
    <t>Productivity</t>
  </si>
  <si>
    <t>MEC</t>
  </si>
  <si>
    <t>MEC Points</t>
  </si>
  <si>
    <t>Points</t>
  </si>
  <si>
    <t>QA</t>
  </si>
  <si>
    <t>QA Points</t>
  </si>
  <si>
    <t>APH Points</t>
  </si>
  <si>
    <t>Prod Points</t>
  </si>
  <si>
    <t>Total Points</t>
  </si>
  <si>
    <t>Totals</t>
  </si>
  <si>
    <t>Scoring</t>
  </si>
  <si>
    <t xml:space="preserve">QA </t>
  </si>
  <si>
    <t>3 pts</t>
  </si>
  <si>
    <t>2 pts</t>
  </si>
  <si>
    <t>1 pt</t>
  </si>
  <si>
    <t>90 % - ↑</t>
  </si>
  <si>
    <t>85 % - 89%</t>
  </si>
  <si>
    <t>Total</t>
  </si>
  <si>
    <t>Team # 5</t>
  </si>
  <si>
    <t>Team # 6</t>
  </si>
  <si>
    <t>Team # 7</t>
  </si>
  <si>
    <t>Team # 8</t>
  </si>
  <si>
    <t>Team # 9</t>
  </si>
  <si>
    <t>Team # 1</t>
  </si>
  <si>
    <t>Team # 2</t>
  </si>
  <si>
    <t>Team # 3</t>
  </si>
  <si>
    <t>Team # 4</t>
  </si>
  <si>
    <t xml:space="preserve">90 % - 100 % </t>
  </si>
  <si>
    <t>115 %  - ↑</t>
  </si>
  <si>
    <t>105 % - 114.99 %</t>
  </si>
  <si>
    <t>95 % - 104.99 %</t>
  </si>
  <si>
    <t xml:space="preserve">80 % - 90 % </t>
  </si>
  <si>
    <t>% of ENT</t>
  </si>
  <si>
    <t>Enterprise APH for this Week</t>
  </si>
  <si>
    <t>APH %</t>
  </si>
  <si>
    <t>Ravenclaw</t>
  </si>
  <si>
    <t>Gryffindor</t>
  </si>
  <si>
    <t>First Last</t>
  </si>
  <si>
    <t>Production Start Date</t>
  </si>
  <si>
    <t>TEAM</t>
  </si>
  <si>
    <t>SUPERVISOR</t>
  </si>
  <si>
    <t>No. of Evaluations</t>
  </si>
  <si>
    <t>Scheduled Visits - Member Engagement Scorecard %</t>
  </si>
  <si>
    <t>Declined - Member Engagement Scorecard %</t>
  </si>
  <si>
    <t>Unscheduled - Member Engagement Scorecard %</t>
  </si>
  <si>
    <t>Not Reached - Member Engagement Scorecard % Copy</t>
  </si>
  <si>
    <t>Weighted Evaluation Score</t>
  </si>
  <si>
    <t>Total Calls</t>
  </si>
  <si>
    <t>Appts Per Productive Hour</t>
  </si>
  <si>
    <t>Reached Conversion Rate</t>
  </si>
  <si>
    <t>Cancellation Rate</t>
  </si>
  <si>
    <t>Team Name</t>
  </si>
  <si>
    <t>Week 5</t>
  </si>
  <si>
    <t>Week 4</t>
  </si>
  <si>
    <t>Week 3</t>
  </si>
  <si>
    <t>Week 2</t>
  </si>
  <si>
    <t>Week 1</t>
  </si>
  <si>
    <t>Alicia Martinez Romero</t>
  </si>
  <si>
    <t>Beatriz Alvarado</t>
  </si>
  <si>
    <t>Rachel Garcia</t>
  </si>
  <si>
    <t>Samantha Walker</t>
  </si>
  <si>
    <t>Lauren Morgan</t>
  </si>
  <si>
    <t>Yazli Yerena</t>
  </si>
  <si>
    <t>Erin Underwood</t>
  </si>
  <si>
    <t>Yvonne Barbee</t>
  </si>
  <si>
    <t>Heather Cash</t>
  </si>
  <si>
    <t>Janice Winston</t>
  </si>
  <si>
    <t>Antavian Taylor</t>
  </si>
  <si>
    <t>Charlincia Montgomery</t>
  </si>
  <si>
    <t>Kiarra Grandison</t>
  </si>
  <si>
    <t>Keysanah Baldwin</t>
  </si>
  <si>
    <t>Allison Lambright</t>
  </si>
  <si>
    <t>April Morris</t>
  </si>
  <si>
    <t>Jasmine Dokes</t>
  </si>
  <si>
    <t>Marc Ferrira</t>
  </si>
  <si>
    <t>Rosalie Kelker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</si>
</sst>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;\-0.0%;0.0%"/>
    <numFmt numFmtId="165" formatCode="0.0"/>
    <numFmt numFmtId="166" formatCode="0.0%"/>
    <numFmt numFmtId="167" formatCode="m/d/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  <scheme val="minor"/>
    </font>
    <font>
      <sz val="10"/>
      <color rgb="FF000000"/>
      <name val="Roboto"/>
    </font>
    <font>
      <sz val="11"/>
      <name val="Aptos Narrow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.5"/>
      <color rgb="FF000000"/>
      <name val="Calibri"/>
      <family val="2"/>
    </font>
    <font>
      <b/>
      <sz val="9"/>
      <color theme="1"/>
      <name val="Merriweathe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61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50A0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EA9DB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/>
    <xf numFmtId="0" fontId="25" fillId="0" borderId="0"/>
    <xf numFmtId="9" fontId="1" fillId="0" borderId="0" applyFont="0" applyFill="0" applyBorder="0" applyAlignment="0" applyProtection="0"/>
  </cellStyleXfs>
  <cellXfs count="208">
    <xf numFmtId="0" fontId="0" fillId="0" borderId="0" xfId="0"/>
    <xf numFmtId="0" fontId="18" fillId="0" borderId="0" xfId="42"/>
    <xf numFmtId="10" fontId="18" fillId="0" borderId="0" xfId="42" applyNumberFormat="1"/>
    <xf numFmtId="10" fontId="18" fillId="0" borderId="11" xfId="42" applyNumberFormat="1" applyBorder="1"/>
    <xf numFmtId="0" fontId="18" fillId="0" borderId="13" xfId="42" applyBorder="1"/>
    <xf numFmtId="164" fontId="19" fillId="0" borderId="11" xfId="42" applyNumberFormat="1" applyFont="1" applyBorder="1"/>
    <xf numFmtId="165" fontId="19" fillId="0" borderId="11" xfId="42" applyNumberFormat="1" applyFont="1" applyBorder="1"/>
    <xf numFmtId="1" fontId="19" fillId="0" borderId="11" xfId="42" applyNumberFormat="1" applyFont="1" applyBorder="1"/>
    <xf numFmtId="3" fontId="19" fillId="0" borderId="11" xfId="42" applyNumberFormat="1" applyFont="1" applyBorder="1"/>
    <xf numFmtId="4" fontId="19" fillId="0" borderId="11" xfId="42" applyNumberFormat="1" applyFont="1" applyBorder="1"/>
    <xf numFmtId="21" fontId="19" fillId="0" borderId="11" xfId="42" applyNumberFormat="1" applyFont="1" applyBorder="1"/>
    <xf numFmtId="46" fontId="19" fillId="0" borderId="14" xfId="42" applyNumberFormat="1" applyFont="1" applyBorder="1"/>
    <xf numFmtId="46" fontId="18" fillId="0" borderId="11" xfId="42" applyNumberFormat="1" applyBorder="1"/>
    <xf numFmtId="21" fontId="18" fillId="0" borderId="11" xfId="42" applyNumberFormat="1" applyBorder="1"/>
    <xf numFmtId="164" fontId="18" fillId="0" borderId="11" xfId="42" applyNumberFormat="1" applyBorder="1"/>
    <xf numFmtId="165" fontId="18" fillId="0" borderId="11" xfId="42" applyNumberFormat="1" applyBorder="1"/>
    <xf numFmtId="1" fontId="18" fillId="0" borderId="11" xfId="42" applyNumberFormat="1" applyBorder="1"/>
    <xf numFmtId="3" fontId="18" fillId="0" borderId="11" xfId="42" applyNumberFormat="1" applyBorder="1"/>
    <xf numFmtId="4" fontId="18" fillId="0" borderId="11" xfId="42" applyNumberFormat="1" applyBorder="1"/>
    <xf numFmtId="46" fontId="18" fillId="0" borderId="14" xfId="42" applyNumberFormat="1" applyBorder="1"/>
    <xf numFmtId="0" fontId="18" fillId="0" borderId="11" xfId="42" applyBorder="1"/>
    <xf numFmtId="0" fontId="18" fillId="0" borderId="15" xfId="42" applyBorder="1"/>
    <xf numFmtId="0" fontId="18" fillId="0" borderId="12" xfId="42" applyBorder="1"/>
    <xf numFmtId="0" fontId="19" fillId="34" borderId="11" xfId="42" applyFont="1" applyFill="1" applyBorder="1"/>
    <xf numFmtId="164" fontId="19" fillId="34" borderId="11" xfId="42" applyNumberFormat="1" applyFont="1" applyFill="1" applyBorder="1"/>
    <xf numFmtId="165" fontId="19" fillId="34" borderId="11" xfId="42" applyNumberFormat="1" applyFont="1" applyFill="1" applyBorder="1"/>
    <xf numFmtId="1" fontId="19" fillId="34" borderId="11" xfId="42" applyNumberFormat="1" applyFont="1" applyFill="1" applyBorder="1"/>
    <xf numFmtId="3" fontId="19" fillId="34" borderId="11" xfId="42" applyNumberFormat="1" applyFont="1" applyFill="1" applyBorder="1"/>
    <xf numFmtId="4" fontId="19" fillId="34" borderId="11" xfId="42" applyNumberFormat="1" applyFont="1" applyFill="1" applyBorder="1"/>
    <xf numFmtId="0" fontId="19" fillId="34" borderId="14" xfId="42" applyFont="1" applyFill="1" applyBorder="1"/>
    <xf numFmtId="46" fontId="19" fillId="0" borderId="19" xfId="42" applyNumberFormat="1" applyFont="1" applyBorder="1"/>
    <xf numFmtId="0" fontId="18" fillId="34" borderId="20" xfId="42" applyFill="1" applyBorder="1"/>
    <xf numFmtId="0" fontId="18" fillId="0" borderId="17" xfId="42" applyBorder="1"/>
    <xf numFmtId="0" fontId="19" fillId="35" borderId="18" xfId="42" applyFont="1" applyFill="1" applyBorder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21" fontId="18" fillId="0" borderId="14" xfId="42" applyNumberFormat="1" applyBorder="1"/>
    <xf numFmtId="21" fontId="18" fillId="0" borderId="12" xfId="42" applyNumberFormat="1" applyBorder="1"/>
    <xf numFmtId="10" fontId="18" fillId="0" borderId="12" xfId="42" applyNumberFormat="1" applyBorder="1"/>
    <xf numFmtId="21" fontId="18" fillId="0" borderId="16" xfId="42" applyNumberFormat="1" applyBorder="1"/>
    <xf numFmtId="46" fontId="18" fillId="0" borderId="0" xfId="42" applyNumberFormat="1"/>
    <xf numFmtId="21" fontId="18" fillId="0" borderId="0" xfId="42" applyNumberFormat="1"/>
    <xf numFmtId="0" fontId="0" fillId="0" borderId="0" xfId="0" applyAlignment="1">
      <alignment horizontal="center" vertical="center" wrapText="1"/>
    </xf>
    <xf numFmtId="0" fontId="0" fillId="34" borderId="27" xfId="0" applyFill="1" applyBorder="1" applyAlignment="1">
      <alignment horizontal="center" vertical="center" wrapText="1"/>
    </xf>
    <xf numFmtId="0" fontId="0" fillId="34" borderId="28" xfId="0" applyFill="1" applyBorder="1" applyAlignment="1">
      <alignment horizontal="center" vertical="center" wrapText="1"/>
    </xf>
    <xf numFmtId="0" fontId="16" fillId="39" borderId="21" xfId="0" applyFont="1" applyFill="1" applyBorder="1" applyAlignment="1">
      <alignment wrapText="1"/>
    </xf>
    <xf numFmtId="0" fontId="16" fillId="39" borderId="22" xfId="0" applyFont="1" applyFill="1" applyBorder="1" applyAlignment="1">
      <alignment wrapText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16" fillId="39" borderId="21" xfId="0" applyFont="1" applyFill="1" applyBorder="1"/>
    <xf numFmtId="0" fontId="16" fillId="39" borderId="23" xfId="0" applyFont="1" applyFill="1" applyBorder="1"/>
    <xf numFmtId="0" fontId="13" fillId="37" borderId="23" xfId="0" applyFont="1" applyFill="1" applyBorder="1"/>
    <xf numFmtId="0" fontId="13" fillId="40" borderId="23" xfId="0" applyFont="1" applyFill="1" applyBorder="1"/>
    <xf numFmtId="0" fontId="0" fillId="0" borderId="29" xfId="0" applyBorder="1"/>
    <xf numFmtId="0" fontId="0" fillId="0" borderId="30" xfId="0" applyBorder="1"/>
    <xf numFmtId="0" fontId="16" fillId="41" borderId="21" xfId="0" applyFont="1" applyFill="1" applyBorder="1"/>
    <xf numFmtId="0" fontId="0" fillId="41" borderId="23" xfId="0" applyFill="1" applyBorder="1"/>
    <xf numFmtId="0" fontId="16" fillId="41" borderId="24" xfId="0" applyFont="1" applyFill="1" applyBorder="1"/>
    <xf numFmtId="0" fontId="16" fillId="41" borderId="31" xfId="0" applyFont="1" applyFill="1" applyBorder="1"/>
    <xf numFmtId="0" fontId="16" fillId="41" borderId="25" xfId="0" applyFont="1" applyFill="1" applyBorder="1"/>
    <xf numFmtId="0" fontId="13" fillId="37" borderId="26" xfId="0" applyFont="1" applyFill="1" applyBorder="1"/>
    <xf numFmtId="0" fontId="13" fillId="40" borderId="26" xfId="0" applyFont="1" applyFill="1" applyBorder="1"/>
    <xf numFmtId="0" fontId="13" fillId="42" borderId="23" xfId="0" applyFont="1" applyFill="1" applyBorder="1"/>
    <xf numFmtId="0" fontId="23" fillId="43" borderId="23" xfId="0" applyFont="1" applyFill="1" applyBorder="1"/>
    <xf numFmtId="0" fontId="13" fillId="42" borderId="26" xfId="0" applyFont="1" applyFill="1" applyBorder="1"/>
    <xf numFmtId="0" fontId="23" fillId="43" borderId="26" xfId="0" applyFont="1" applyFill="1" applyBorder="1"/>
    <xf numFmtId="0" fontId="0" fillId="37" borderId="32" xfId="0" applyFill="1" applyBorder="1"/>
    <xf numFmtId="0" fontId="0" fillId="37" borderId="33" xfId="0" applyFill="1" applyBorder="1"/>
    <xf numFmtId="0" fontId="13" fillId="44" borderId="23" xfId="0" applyFont="1" applyFill="1" applyBorder="1"/>
    <xf numFmtId="0" fontId="13" fillId="44" borderId="26" xfId="0" applyFont="1" applyFill="1" applyBorder="1"/>
    <xf numFmtId="0" fontId="23" fillId="45" borderId="23" xfId="0" applyFont="1" applyFill="1" applyBorder="1"/>
    <xf numFmtId="0" fontId="23" fillId="45" borderId="26" xfId="0" applyFont="1" applyFill="1" applyBorder="1"/>
    <xf numFmtId="0" fontId="23" fillId="46" borderId="23" xfId="0" applyFont="1" applyFill="1" applyBorder="1"/>
    <xf numFmtId="0" fontId="23" fillId="46" borderId="26" xfId="0" applyFont="1" applyFill="1" applyBorder="1"/>
    <xf numFmtId="0" fontId="23" fillId="47" borderId="23" xfId="0" applyFont="1" applyFill="1" applyBorder="1"/>
    <xf numFmtId="0" fontId="23" fillId="47" borderId="26" xfId="0" applyFont="1" applyFill="1" applyBorder="1"/>
    <xf numFmtId="0" fontId="13" fillId="48" borderId="23" xfId="0" applyFont="1" applyFill="1" applyBorder="1"/>
    <xf numFmtId="0" fontId="13" fillId="48" borderId="26" xfId="0" applyFont="1" applyFill="1" applyBorder="1"/>
    <xf numFmtId="0" fontId="0" fillId="34" borderId="0" xfId="0" applyFill="1"/>
    <xf numFmtId="0" fontId="0" fillId="35" borderId="24" xfId="0" applyFill="1" applyBorder="1" applyProtection="1">
      <protection hidden="1"/>
    </xf>
    <xf numFmtId="0" fontId="0" fillId="35" borderId="26" xfId="0" applyFill="1" applyBorder="1" applyProtection="1">
      <protection hidden="1"/>
    </xf>
    <xf numFmtId="0" fontId="0" fillId="36" borderId="25" xfId="0" applyFill="1" applyBorder="1" applyProtection="1">
      <protection hidden="1"/>
    </xf>
    <xf numFmtId="0" fontId="13" fillId="37" borderId="28" xfId="0" applyFont="1" applyFill="1" applyBorder="1" applyProtection="1">
      <protection hidden="1"/>
    </xf>
    <xf numFmtId="0" fontId="13" fillId="40" borderId="28" xfId="0" applyFont="1" applyFill="1" applyBorder="1" applyProtection="1">
      <protection hidden="1"/>
    </xf>
    <xf numFmtId="0" fontId="23" fillId="43" borderId="28" xfId="0" applyFont="1" applyFill="1" applyBorder="1" applyProtection="1">
      <protection hidden="1"/>
    </xf>
    <xf numFmtId="0" fontId="23" fillId="46" borderId="28" xfId="0" applyFont="1" applyFill="1" applyBorder="1" applyProtection="1">
      <protection hidden="1"/>
    </xf>
    <xf numFmtId="0" fontId="13" fillId="44" borderId="28" xfId="0" applyFont="1" applyFill="1" applyBorder="1" applyProtection="1">
      <protection hidden="1"/>
    </xf>
    <xf numFmtId="0" fontId="23" fillId="47" borderId="28" xfId="0" applyFont="1" applyFill="1" applyBorder="1" applyProtection="1">
      <protection hidden="1"/>
    </xf>
    <xf numFmtId="0" fontId="13" fillId="42" borderId="28" xfId="0" applyFont="1" applyFill="1" applyBorder="1" applyProtection="1">
      <protection hidden="1"/>
    </xf>
    <xf numFmtId="0" fontId="23" fillId="45" borderId="28" xfId="0" applyFont="1" applyFill="1" applyBorder="1" applyProtection="1">
      <protection hidden="1"/>
    </xf>
    <xf numFmtId="0" fontId="13" fillId="48" borderId="28" xfId="0" applyFont="1" applyFill="1" applyBorder="1" applyProtection="1">
      <protection hidden="1"/>
    </xf>
    <xf numFmtId="0" fontId="0" fillId="0" borderId="24" xfId="0" applyBorder="1" applyAlignment="1" applyProtection="1">
      <alignment wrapText="1"/>
      <protection hidden="1"/>
    </xf>
    <xf numFmtId="2" fontId="0" fillId="0" borderId="11" xfId="0" applyNumberFormat="1" applyBorder="1" applyAlignment="1" applyProtection="1">
      <alignment wrapText="1"/>
      <protection hidden="1"/>
    </xf>
    <xf numFmtId="0" fontId="0" fillId="38" borderId="11" xfId="0" applyFill="1" applyBorder="1" applyAlignment="1" applyProtection="1">
      <alignment horizontal="center" vertical="center" wrapText="1"/>
      <protection hidden="1"/>
    </xf>
    <xf numFmtId="0" fontId="0" fillId="0" borderId="25" xfId="0" applyBorder="1" applyAlignment="1" applyProtection="1">
      <alignment horizontal="center" vertical="center" wrapText="1"/>
      <protection hidden="1"/>
    </xf>
    <xf numFmtId="0" fontId="0" fillId="36" borderId="24" xfId="0" applyFill="1" applyBorder="1" applyProtection="1">
      <protection locked="0"/>
    </xf>
    <xf numFmtId="0" fontId="13" fillId="40" borderId="34" xfId="0" applyFont="1" applyFill="1" applyBorder="1"/>
    <xf numFmtId="0" fontId="13" fillId="37" borderId="21" xfId="0" applyFont="1" applyFill="1" applyBorder="1" applyProtection="1">
      <protection locked="0"/>
    </xf>
    <xf numFmtId="0" fontId="13" fillId="40" borderId="21" xfId="0" applyFont="1" applyFill="1" applyBorder="1" applyProtection="1">
      <protection locked="0"/>
    </xf>
    <xf numFmtId="0" fontId="13" fillId="42" borderId="21" xfId="0" applyFont="1" applyFill="1" applyBorder="1" applyProtection="1">
      <protection locked="0"/>
    </xf>
    <xf numFmtId="0" fontId="23" fillId="43" borderId="21" xfId="0" applyFont="1" applyFill="1" applyBorder="1" applyProtection="1">
      <protection locked="0"/>
    </xf>
    <xf numFmtId="0" fontId="13" fillId="44" borderId="21" xfId="0" applyFont="1" applyFill="1" applyBorder="1" applyProtection="1">
      <protection locked="0"/>
    </xf>
    <xf numFmtId="0" fontId="23" fillId="45" borderId="21" xfId="0" applyFont="1" applyFill="1" applyBorder="1" applyProtection="1">
      <protection locked="0"/>
    </xf>
    <xf numFmtId="0" fontId="23" fillId="46" borderId="21" xfId="0" applyFont="1" applyFill="1" applyBorder="1" applyProtection="1">
      <protection locked="0"/>
    </xf>
    <xf numFmtId="0" fontId="23" fillId="47" borderId="21" xfId="0" applyFont="1" applyFill="1" applyBorder="1" applyProtection="1">
      <protection locked="0"/>
    </xf>
    <xf numFmtId="0" fontId="13" fillId="48" borderId="21" xfId="0" applyFont="1" applyFill="1" applyBorder="1" applyProtection="1">
      <protection locked="0"/>
    </xf>
    <xf numFmtId="10" fontId="16" fillId="39" borderId="22" xfId="0" applyNumberFormat="1" applyFont="1" applyFill="1" applyBorder="1" applyAlignment="1">
      <alignment wrapText="1"/>
    </xf>
    <xf numFmtId="10" fontId="0" fillId="0" borderId="0" xfId="0" applyNumberFormat="1" applyAlignment="1">
      <alignment wrapText="1"/>
    </xf>
    <xf numFmtId="0" fontId="24" fillId="36" borderId="24" xfId="0" applyFont="1" applyFill="1" applyBorder="1" applyAlignment="1" applyProtection="1">
      <alignment horizontal="left" vertical="center" wrapText="1" indent="1"/>
      <protection locked="0"/>
    </xf>
    <xf numFmtId="0" fontId="16" fillId="49" borderId="0" xfId="0" applyFont="1" applyFill="1"/>
    <xf numFmtId="10" fontId="0" fillId="0" borderId="0" xfId="0" applyNumberFormat="1"/>
    <xf numFmtId="15" fontId="0" fillId="0" borderId="0" xfId="0" applyNumberFormat="1"/>
    <xf numFmtId="0" fontId="0" fillId="35" borderId="25" xfId="0" applyFill="1" applyBorder="1" applyAlignment="1" applyProtection="1">
      <alignment horizontal="center" vertical="center"/>
      <protection hidden="1"/>
    </xf>
    <xf numFmtId="9" fontId="0" fillId="0" borderId="11" xfId="45" applyFont="1" applyBorder="1" applyAlignment="1" applyProtection="1">
      <alignment horizontal="center" wrapText="1"/>
      <protection hidden="1"/>
    </xf>
    <xf numFmtId="10" fontId="0" fillId="0" borderId="11" xfId="0" applyNumberFormat="1" applyBorder="1" applyAlignment="1" applyProtection="1">
      <alignment horizontal="center" vertical="center" wrapText="1"/>
      <protection hidden="1"/>
    </xf>
    <xf numFmtId="2" fontId="16" fillId="39" borderId="22" xfId="0" applyNumberFormat="1" applyFont="1" applyFill="1" applyBorder="1" applyAlignment="1">
      <alignment horizontal="center" wrapText="1"/>
    </xf>
    <xf numFmtId="0" fontId="16" fillId="39" borderId="22" xfId="0" applyFont="1" applyFill="1" applyBorder="1" applyAlignment="1">
      <alignment horizontal="center" wrapText="1"/>
    </xf>
    <xf numFmtId="0" fontId="16" fillId="39" borderId="23" xfId="0" applyFont="1" applyFill="1" applyBorder="1" applyAlignment="1">
      <alignment horizontal="center" wrapText="1"/>
    </xf>
    <xf numFmtId="9" fontId="0" fillId="0" borderId="11" xfId="45" applyFont="1" applyBorder="1" applyAlignment="1" applyProtection="1">
      <alignment horizontal="center" vertical="center" wrapText="1"/>
      <protection hidden="1"/>
    </xf>
    <xf numFmtId="2" fontId="0" fillId="40" borderId="27" xfId="0" applyNumberFormat="1" applyFill="1" applyBorder="1" applyAlignment="1" applyProtection="1">
      <alignment wrapText="1"/>
      <protection locked="0"/>
    </xf>
    <xf numFmtId="0" fontId="0" fillId="37" borderId="0" xfId="0" applyFill="1"/>
    <xf numFmtId="0" fontId="13" fillId="50" borderId="11" xfId="0" applyFont="1" applyFill="1" applyBorder="1"/>
    <xf numFmtId="2" fontId="13" fillId="50" borderId="11" xfId="0" applyNumberFormat="1" applyFont="1" applyFill="1" applyBorder="1"/>
    <xf numFmtId="0" fontId="13" fillId="51" borderId="11" xfId="0" applyFont="1" applyFill="1" applyBorder="1" applyProtection="1">
      <protection locked="0"/>
    </xf>
    <xf numFmtId="0" fontId="13" fillId="50" borderId="21" xfId="0" applyFont="1" applyFill="1" applyBorder="1" applyProtection="1">
      <protection locked="0"/>
    </xf>
    <xf numFmtId="0" fontId="13" fillId="50" borderId="23" xfId="0" applyFont="1" applyFill="1" applyBorder="1"/>
    <xf numFmtId="0" fontId="13" fillId="51" borderId="21" xfId="0" applyFont="1" applyFill="1" applyBorder="1" applyProtection="1">
      <protection locked="0"/>
    </xf>
    <xf numFmtId="0" fontId="13" fillId="51" borderId="23" xfId="0" applyFont="1" applyFill="1" applyBorder="1"/>
    <xf numFmtId="0" fontId="26" fillId="53" borderId="25" xfId="0" applyFont="1" applyFill="1" applyBorder="1" applyAlignment="1" applyProtection="1">
      <alignment horizontal="center" vertical="center"/>
      <protection hidden="1"/>
    </xf>
    <xf numFmtId="0" fontId="26" fillId="54" borderId="25" xfId="0" applyFont="1" applyFill="1" applyBorder="1" applyAlignment="1" applyProtection="1">
      <alignment horizontal="center" vertical="center"/>
      <protection hidden="1"/>
    </xf>
    <xf numFmtId="2" fontId="0" fillId="37" borderId="0" xfId="0" applyNumberFormat="1" applyFill="1"/>
    <xf numFmtId="0" fontId="13" fillId="50" borderId="34" xfId="0" applyFont="1" applyFill="1" applyBorder="1"/>
    <xf numFmtId="0" fontId="27" fillId="50" borderId="28" xfId="0" applyFont="1" applyFill="1" applyBorder="1" applyAlignment="1" applyProtection="1">
      <alignment horizontal="center" vertical="center"/>
      <protection hidden="1"/>
    </xf>
    <xf numFmtId="0" fontId="13" fillId="51" borderId="26" xfId="0" applyFont="1" applyFill="1" applyBorder="1"/>
    <xf numFmtId="0" fontId="27" fillId="51" borderId="28" xfId="0" applyFont="1" applyFill="1" applyBorder="1" applyAlignment="1" applyProtection="1">
      <alignment horizontal="center" vertical="center"/>
      <protection hidden="1"/>
    </xf>
    <xf numFmtId="2" fontId="19" fillId="34" borderId="11" xfId="42" applyNumberFormat="1" applyFont="1" applyFill="1" applyBorder="1"/>
    <xf numFmtId="2" fontId="18" fillId="0" borderId="11" xfId="42" applyNumberFormat="1" applyBorder="1"/>
    <xf numFmtId="2" fontId="18" fillId="0" borderId="12" xfId="42" applyNumberFormat="1" applyBorder="1"/>
    <xf numFmtId="2" fontId="18" fillId="0" borderId="0" xfId="42" applyNumberFormat="1"/>
    <xf numFmtId="0" fontId="25" fillId="0" borderId="42" xfId="44" applyBorder="1"/>
    <xf numFmtId="46" fontId="25" fillId="0" borderId="40" xfId="44" applyNumberFormat="1" applyBorder="1"/>
    <xf numFmtId="21" fontId="25" fillId="0" borderId="40" xfId="44" applyNumberFormat="1" applyBorder="1"/>
    <xf numFmtId="164" fontId="25" fillId="0" borderId="40" xfId="44" applyNumberFormat="1" applyBorder="1"/>
    <xf numFmtId="10" fontId="25" fillId="0" borderId="40" xfId="44" applyNumberFormat="1" applyBorder="1"/>
    <xf numFmtId="1" fontId="25" fillId="0" borderId="40" xfId="44" applyNumberFormat="1" applyBorder="1"/>
    <xf numFmtId="2" fontId="25" fillId="0" borderId="40" xfId="44" applyNumberFormat="1" applyBorder="1"/>
    <xf numFmtId="0" fontId="25" fillId="0" borderId="19" xfId="44" applyBorder="1"/>
    <xf numFmtId="46" fontId="25" fillId="0" borderId="11" xfId="44" applyNumberFormat="1" applyBorder="1"/>
    <xf numFmtId="21" fontId="25" fillId="0" borderId="11" xfId="44" applyNumberFormat="1" applyBorder="1"/>
    <xf numFmtId="164" fontId="25" fillId="0" borderId="11" xfId="44" applyNumberFormat="1" applyBorder="1"/>
    <xf numFmtId="10" fontId="25" fillId="0" borderId="11" xfId="44" applyNumberFormat="1" applyBorder="1"/>
    <xf numFmtId="1" fontId="25" fillId="0" borderId="11" xfId="44" applyNumberFormat="1" applyBorder="1"/>
    <xf numFmtId="2" fontId="25" fillId="0" borderId="11" xfId="44" applyNumberFormat="1" applyBorder="1"/>
    <xf numFmtId="0" fontId="0" fillId="0" borderId="11" xfId="0" applyBorder="1" applyProtection="1">
      <protection locked="0"/>
    </xf>
    <xf numFmtId="0" fontId="0" fillId="35" borderId="28" xfId="0" applyFill="1" applyBorder="1" applyAlignment="1" applyProtection="1">
      <alignment horizontal="center" vertical="center"/>
      <protection hidden="1"/>
    </xf>
    <xf numFmtId="9" fontId="16" fillId="49" borderId="0" xfId="0" applyNumberFormat="1" applyFont="1" applyFill="1"/>
    <xf numFmtId="10" fontId="16" fillId="49" borderId="0" xfId="0" applyNumberFormat="1" applyFont="1" applyFill="1"/>
    <xf numFmtId="0" fontId="19" fillId="33" borderId="11" xfId="42" applyFont="1" applyFill="1" applyBorder="1"/>
    <xf numFmtId="1" fontId="19" fillId="33" borderId="11" xfId="42" applyNumberFormat="1" applyFont="1" applyFill="1" applyBorder="1"/>
    <xf numFmtId="2" fontId="19" fillId="33" borderId="11" xfId="42" applyNumberFormat="1" applyFont="1" applyFill="1" applyBorder="1"/>
    <xf numFmtId="0" fontId="19" fillId="0" borderId="11" xfId="42" applyFont="1" applyBorder="1"/>
    <xf numFmtId="46" fontId="19" fillId="33" borderId="11" xfId="42" applyNumberFormat="1" applyFont="1" applyFill="1" applyBorder="1"/>
    <xf numFmtId="46" fontId="19" fillId="34" borderId="11" xfId="42" applyNumberFormat="1" applyFont="1" applyFill="1" applyBorder="1"/>
    <xf numFmtId="46" fontId="18" fillId="0" borderId="12" xfId="42" applyNumberFormat="1" applyBorder="1"/>
    <xf numFmtId="1" fontId="18" fillId="0" borderId="12" xfId="42" applyNumberFormat="1" applyBorder="1"/>
    <xf numFmtId="1" fontId="18" fillId="0" borderId="0" xfId="42" applyNumberFormat="1"/>
    <xf numFmtId="10" fontId="19" fillId="33" borderId="11" xfId="42" applyNumberFormat="1" applyFont="1" applyFill="1" applyBorder="1"/>
    <xf numFmtId="10" fontId="19" fillId="34" borderId="11" xfId="42" applyNumberFormat="1" applyFont="1" applyFill="1" applyBorder="1"/>
    <xf numFmtId="0" fontId="18" fillId="35" borderId="18" xfId="42" applyFill="1" applyBorder="1"/>
    <xf numFmtId="46" fontId="18" fillId="0" borderId="19" xfId="42" applyNumberFormat="1" applyBorder="1"/>
    <xf numFmtId="0" fontId="0" fillId="53" borderId="24" xfId="0" applyFill="1" applyBorder="1"/>
    <xf numFmtId="0" fontId="0" fillId="54" borderId="24" xfId="0" applyFill="1" applyBorder="1" applyProtection="1">
      <protection hidden="1"/>
    </xf>
    <xf numFmtId="0" fontId="0" fillId="52" borderId="31" xfId="0" applyFill="1" applyBorder="1" applyProtection="1">
      <protection hidden="1"/>
    </xf>
    <xf numFmtId="9" fontId="0" fillId="52" borderId="40" xfId="45" applyFont="1" applyFill="1" applyBorder="1" applyAlignment="1" applyProtection="1">
      <alignment horizontal="center" vertical="center"/>
      <protection hidden="1"/>
    </xf>
    <xf numFmtId="166" fontId="0" fillId="52" borderId="40" xfId="0" applyNumberFormat="1" applyFill="1" applyBorder="1" applyAlignment="1" applyProtection="1">
      <alignment horizontal="center" vertical="center"/>
      <protection hidden="1"/>
    </xf>
    <xf numFmtId="1" fontId="0" fillId="52" borderId="40" xfId="0" applyNumberFormat="1" applyFill="1" applyBorder="1" applyAlignment="1" applyProtection="1">
      <alignment horizontal="center" vertical="center"/>
      <protection hidden="1"/>
    </xf>
    <xf numFmtId="1" fontId="0" fillId="52" borderId="41" xfId="0" applyNumberFormat="1" applyFill="1" applyBorder="1" applyAlignment="1" applyProtection="1">
      <alignment horizontal="center" vertical="center"/>
      <protection hidden="1"/>
    </xf>
    <xf numFmtId="0" fontId="0" fillId="37" borderId="0" xfId="0" applyFill="1" applyProtection="1">
      <protection hidden="1"/>
    </xf>
    <xf numFmtId="0" fontId="13" fillId="51" borderId="11" xfId="0" applyFont="1" applyFill="1" applyBorder="1" applyProtection="1">
      <protection hidden="1"/>
    </xf>
    <xf numFmtId="1" fontId="13" fillId="51" borderId="11" xfId="0" applyNumberFormat="1" applyFont="1" applyFill="1" applyBorder="1" applyProtection="1">
      <protection hidden="1"/>
    </xf>
    <xf numFmtId="0" fontId="13" fillId="50" borderId="11" xfId="0" applyFont="1" applyFill="1" applyBorder="1" applyProtection="1">
      <protection hidden="1"/>
    </xf>
    <xf numFmtId="1" fontId="13" fillId="50" borderId="11" xfId="0" applyNumberFormat="1" applyFont="1" applyFill="1" applyBorder="1" applyProtection="1">
      <protection hidden="1"/>
    </xf>
    <xf numFmtId="0" fontId="28" fillId="55" borderId="10" xfId="0" applyFont="1" applyFill="1" applyBorder="1" applyAlignment="1" applyProtection="1">
      <alignment vertical="center" wrapText="1"/>
      <protection locked="0"/>
    </xf>
    <xf numFmtId="14" fontId="28" fillId="55" borderId="10" xfId="0" applyNumberFormat="1" applyFont="1" applyFill="1" applyBorder="1" applyAlignment="1" applyProtection="1">
      <alignment vertical="center" wrapText="1"/>
      <protection locked="0"/>
    </xf>
    <xf numFmtId="0" fontId="21" fillId="0" borderId="43" xfId="0" applyFont="1" applyBorder="1" applyAlignment="1" applyProtection="1">
      <alignment horizontal="center" vertical="center"/>
      <protection locked="0"/>
    </xf>
    <xf numFmtId="167" fontId="29" fillId="0" borderId="11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3" fillId="50" borderId="39" xfId="0" applyFont="1" applyFill="1" applyBorder="1" applyAlignment="1" applyProtection="1">
      <alignment horizontal="left"/>
      <protection hidden="1"/>
    </xf>
    <xf numFmtId="0" fontId="13" fillId="50" borderId="19" xfId="0" applyFont="1" applyFill="1" applyBorder="1" applyAlignment="1" applyProtection="1">
      <alignment horizontal="left"/>
      <protection hidden="1"/>
    </xf>
    <xf numFmtId="0" fontId="13" fillId="51" borderId="38" xfId="0" applyFont="1" applyFill="1" applyBorder="1" applyAlignment="1" applyProtection="1">
      <alignment horizontal="right"/>
      <protection locked="0"/>
    </xf>
    <xf numFmtId="0" fontId="13" fillId="51" borderId="39" xfId="0" applyFont="1" applyFill="1" applyBorder="1" applyAlignment="1" applyProtection="1">
      <alignment horizontal="right"/>
      <protection locked="0"/>
    </xf>
    <xf numFmtId="0" fontId="13" fillId="51" borderId="19" xfId="0" applyFont="1" applyFill="1" applyBorder="1" applyAlignment="1" applyProtection="1">
      <alignment horizontal="right"/>
      <protection locked="0"/>
    </xf>
    <xf numFmtId="0" fontId="13" fillId="51" borderId="38" xfId="0" applyFont="1" applyFill="1" applyBorder="1" applyAlignment="1" applyProtection="1">
      <alignment horizontal="left"/>
      <protection hidden="1"/>
    </xf>
    <xf numFmtId="0" fontId="13" fillId="51" borderId="39" xfId="0" applyFont="1" applyFill="1" applyBorder="1" applyAlignment="1" applyProtection="1">
      <alignment horizontal="left"/>
      <protection hidden="1"/>
    </xf>
    <xf numFmtId="0" fontId="13" fillId="51" borderId="19" xfId="0" applyFont="1" applyFill="1" applyBorder="1" applyAlignment="1" applyProtection="1">
      <alignment horizontal="left"/>
      <protection hidden="1"/>
    </xf>
    <xf numFmtId="0" fontId="13" fillId="50" borderId="38" xfId="0" applyFont="1" applyFill="1" applyBorder="1" applyAlignment="1" applyProtection="1">
      <alignment horizontal="right"/>
      <protection locked="0"/>
    </xf>
    <xf numFmtId="0" fontId="13" fillId="50" borderId="39" xfId="0" applyFont="1" applyFill="1" applyBorder="1" applyAlignment="1" applyProtection="1">
      <alignment horizontal="right"/>
      <protection locked="0"/>
    </xf>
    <xf numFmtId="0" fontId="0" fillId="34" borderId="35" xfId="0" applyFill="1" applyBorder="1" applyAlignment="1">
      <alignment horizontal="center" wrapText="1"/>
    </xf>
    <xf numFmtId="0" fontId="0" fillId="34" borderId="36" xfId="0" applyFill="1" applyBorder="1" applyAlignment="1">
      <alignment horizontal="center" wrapText="1"/>
    </xf>
    <xf numFmtId="0" fontId="0" fillId="43" borderId="37" xfId="0" applyFill="1" applyBorder="1" applyAlignment="1">
      <alignment horizontal="center" wrapText="1"/>
    </xf>
    <xf numFmtId="0" fontId="0" fillId="43" borderId="36" xfId="0" applyFill="1" applyBorder="1" applyAlignment="1">
      <alignment horizontal="center" wrapText="1"/>
    </xf>
    <xf numFmtId="0" fontId="0" fillId="52" borderId="11" xfId="0" applyFill="1" applyBorder="1"/>
    <xf numFmtId="0" fontId="0" fillId="0" borderId="11" xfId="0" applyBorder="1"/>
    <xf numFmtId="10" fontId="0" fillId="52" borderId="11" xfId="45" applyNumberFormat="1" applyFont="1" applyFill="1" applyBorder="1"/>
    <xf numFmtId="10" fontId="0" fillId="0" borderId="11" xfId="45" applyNumberFormat="1" applyFont="1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C58F39B-C5C3-4395-B172-866FDDA03AEA}"/>
    <cellStyle name="Normal 3" xfId="43" xr:uid="{C359A7F3-826F-4F13-9FAF-D81B2D0A6FCA}"/>
    <cellStyle name="Normal 4" xfId="44" xr:uid="{5E57548D-2B3F-4E5A-AD0A-69EF05CF735A}"/>
    <cellStyle name="Note" xfId="15" builtinId="10" customBuiltin="1"/>
    <cellStyle name="Output" xfId="10" builtinId="21" customBuiltin="1"/>
    <cellStyle name="Percent" xfId="45" builtinId="5"/>
    <cellStyle name="Title" xfId="1" builtinId="15" customBuiltin="1"/>
    <cellStyle name="Total" xfId="17" builtinId="25" customBuiltin="1"/>
    <cellStyle name="Warning Text" xfId="14" builtinId="11" customBuiltin="1"/>
  </cellStyles>
  <dxfs count="7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D50A0A"/>
      <color rgb="FF0B162A"/>
      <color rgb="FFFFB612"/>
      <color rgb="FFC83803"/>
      <color rgb="FFFB4F14"/>
      <color rgb="FFFC4C02"/>
      <color rgb="FF008E97"/>
      <color rgb="FFFF3C00"/>
      <color rgb="FF311D00"/>
      <color rgb="FF2037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112643</xdr:colOff>
      <xdr:row>1</xdr:row>
      <xdr:rowOff>0</xdr:rowOff>
    </xdr:from>
    <xdr:to>
      <xdr:col>4</xdr:col>
      <xdr:colOff>0</xdr:colOff>
      <xdr:row>23</xdr:row>
      <xdr:rowOff>17961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" y="185530"/>
          <a:ext cx="1868557" cy="4287079"/>
        </a:xfrm>
        <a:prstGeom prst="rect">
          <a:avLst/>
        </a:prstGeom>
      </xdr:spPr>
    </xdr:pic>
    <xdr:clientData/>
  </xdr:twoCellAnchor>
  <xdr:twoCellAnchor editAs="oneCell">
    <xdr:from>
      <xdr:col>4</xdr:col>
      <xdr:colOff>28576</xdr:colOff>
      <xdr:row>0</xdr:row>
      <xdr:rowOff>149245</xdr:rowOff>
    </xdr:from>
    <xdr:to>
      <xdr:col>12</xdr:col>
      <xdr:colOff>590882</xdr:colOff>
      <xdr:row>8</xdr:row>
      <xdr:rowOff>132024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7396" y="149245"/>
          <a:ext cx="5718892" cy="1459154"/>
        </a:xfrm>
        <a:prstGeom prst="rect">
          <a:avLst/>
        </a:prstGeom>
      </xdr:spPr>
    </xdr:pic>
    <xdr:clientData/>
  </xdr:twoCellAnchor>
  <xdr:twoCellAnchor editAs="oneCell">
    <xdr:from>
      <xdr:col>14</xdr:col>
      <xdr:colOff>4970</xdr:colOff>
      <xdr:row>0</xdr:row>
      <xdr:rowOff>165653</xdr:rowOff>
    </xdr:from>
    <xdr:to>
      <xdr:col>16</xdr:col>
      <xdr:colOff>552247</xdr:colOff>
      <xdr:row>23</xdr:row>
      <xdr:rowOff>17961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63509" y="165653"/>
          <a:ext cx="1802506" cy="430695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</xdr:row>
      <xdr:rowOff>192156</xdr:rowOff>
    </xdr:from>
    <xdr:to>
      <xdr:col>10</xdr:col>
      <xdr:colOff>0</xdr:colOff>
      <xdr:row>20</xdr:row>
      <xdr:rowOff>17962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41913" y="2060713"/>
          <a:ext cx="1630017" cy="18089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25</xdr:row>
          <xdr:rowOff>31750</xdr:rowOff>
        </xdr:from>
        <xdr:to>
          <xdr:col>7</xdr:col>
          <xdr:colOff>222250</xdr:colOff>
          <xdr:row>27</xdr:row>
          <xdr:rowOff>31750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28</xdr:row>
          <xdr:rowOff>101600</xdr:rowOff>
        </xdr:from>
        <xdr:to>
          <xdr:col>14</xdr:col>
          <xdr:colOff>381000</xdr:colOff>
          <xdr:row>31</xdr:row>
          <xdr:rowOff>177800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1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4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12700</xdr:rowOff>
        </xdr:from>
        <xdr:to>
          <xdr:col>1</xdr:col>
          <xdr:colOff>6350</xdr:colOff>
          <xdr:row>2</xdr:row>
          <xdr:rowOff>12700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5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7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7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8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A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A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158750</xdr:rowOff>
        </xdr:from>
        <xdr:to>
          <xdr:col>1</xdr:col>
          <xdr:colOff>0</xdr:colOff>
          <xdr:row>1</xdr:row>
          <xdr:rowOff>177800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B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D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D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ME0025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177800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E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0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1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ME0025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177800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1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Allison.Lambright/Desktop/WEIGHTED%20QA%20SITE/WEIGHTED%20QA%20SITE.xlsm" TargetMode="External"/><Relationship Id="rId2" Type="http://schemas.openxmlformats.org/officeDocument/2006/relationships/externalLinkPath" Target="file:///C:\Users\Allison.Lambright\Desktop\WEIGHTED%20QA%20SITE\WEIGHTED%20QA%20SITE.xlsm" TargetMode="External"/><Relationship Id="rId1" Type="http://schemas.openxmlformats.org/officeDocument/2006/relationships/externalLinkPath" Target="/Users/Allison.Lambright/Desktop/WEIGHTED%20QA%20SITE/WEIGHTED%20QA%20SI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enture Only"/>
      <sheetName val="TEAM AVERAGE"/>
      <sheetName val="TEAM DISTRIBUTIONS"/>
      <sheetName val="all signify"/>
      <sheetName val="Sheet1"/>
    </sheetNames>
    <sheetDataSet>
      <sheetData sheetId="0" refreshError="1"/>
      <sheetData sheetId="1" refreshError="1"/>
      <sheetData sheetId="2" refreshError="1"/>
      <sheetData sheetId="3" refreshError="1">
        <row r="1">
          <cell r="B1" t="str">
            <v>Full Name</v>
          </cell>
          <cell r="C1" t="str">
            <v>No. of Evaluations</v>
          </cell>
          <cell r="D1" t="str">
            <v>Scheduled Visits - Member Engagement Scorecard %</v>
          </cell>
          <cell r="E1" t="str">
            <v>Declined - Member Engagement Scorecard %</v>
          </cell>
          <cell r="F1" t="str">
            <v>Unscheduled - Member Engagement Scorecard %</v>
          </cell>
          <cell r="G1" t="str">
            <v>Not Reached - Member Engagement Scorecard % Copy</v>
          </cell>
          <cell r="H1" t="str">
            <v>Weighted Evaluation Score</v>
          </cell>
        </row>
        <row r="2">
          <cell r="B2" t="str">
            <v>Michele Johnson</v>
          </cell>
          <cell r="C2">
            <v>6782</v>
          </cell>
          <cell r="D2">
            <v>1</v>
          </cell>
          <cell r="E2">
            <v>0.57979999999999998</v>
          </cell>
          <cell r="F2">
            <v>0.90559999999999996</v>
          </cell>
          <cell r="G2">
            <v>0.99619999999999997</v>
          </cell>
          <cell r="H2">
            <v>0.84519999999999995</v>
          </cell>
        </row>
        <row r="3">
          <cell r="B3" t="str">
            <v>Marcella Rousey</v>
          </cell>
          <cell r="C3">
            <v>5142</v>
          </cell>
          <cell r="D3">
            <v>0.84219999999999995</v>
          </cell>
          <cell r="E3">
            <v>0.67</v>
          </cell>
          <cell r="F3">
            <v>0.84060000000000001</v>
          </cell>
          <cell r="G3">
            <v>0.99780000000000002</v>
          </cell>
          <cell r="H3">
            <v>0.80559999999999998</v>
          </cell>
        </row>
        <row r="4">
          <cell r="B4" t="str">
            <v>Kayla Darden</v>
          </cell>
          <cell r="C4">
            <v>5035</v>
          </cell>
          <cell r="D4">
            <v>0.79830000000000001</v>
          </cell>
          <cell r="E4">
            <v>0.80100000000000005</v>
          </cell>
          <cell r="F4">
            <v>0.88539999999999996</v>
          </cell>
          <cell r="G4">
            <v>0.99650000000000005</v>
          </cell>
          <cell r="H4">
            <v>0.84509999999999996</v>
          </cell>
        </row>
        <row r="5">
          <cell r="B5" t="str">
            <v>Jessica Garcia</v>
          </cell>
          <cell r="C5">
            <v>4908</v>
          </cell>
          <cell r="D5">
            <v>0.7218</v>
          </cell>
          <cell r="E5">
            <v>0.69230000000000003</v>
          </cell>
          <cell r="F5">
            <v>0.85909999999999997</v>
          </cell>
          <cell r="G5">
            <v>0.99229999999999996</v>
          </cell>
          <cell r="H5">
            <v>0.78120000000000001</v>
          </cell>
        </row>
        <row r="6">
          <cell r="B6" t="str">
            <v>Amanda Wallace</v>
          </cell>
          <cell r="C6">
            <v>4396</v>
          </cell>
          <cell r="D6">
            <v>0.79359999999999997</v>
          </cell>
          <cell r="E6">
            <v>0.68640000000000001</v>
          </cell>
          <cell r="F6">
            <v>0.86009999999999998</v>
          </cell>
          <cell r="G6">
            <v>0.99509999999999998</v>
          </cell>
          <cell r="H6">
            <v>0.80149999999999999</v>
          </cell>
        </row>
        <row r="7">
          <cell r="B7" t="str">
            <v>Rachel Adams</v>
          </cell>
          <cell r="C7">
            <v>4359</v>
          </cell>
          <cell r="D7">
            <v>0.77790000000000004</v>
          </cell>
          <cell r="E7">
            <v>0.59379999999999999</v>
          </cell>
          <cell r="F7">
            <v>0.79159999999999997</v>
          </cell>
          <cell r="G7">
            <v>0.99409999999999998</v>
          </cell>
          <cell r="H7">
            <v>0.74839999999999995</v>
          </cell>
        </row>
        <row r="8">
          <cell r="B8" t="str">
            <v>Alondra Castillo</v>
          </cell>
          <cell r="C8">
            <v>4343</v>
          </cell>
          <cell r="D8">
            <v>0.29570000000000002</v>
          </cell>
          <cell r="E8">
            <v>0.56330000000000002</v>
          </cell>
          <cell r="F8">
            <v>0.57730000000000004</v>
          </cell>
          <cell r="G8">
            <v>0.98140000000000005</v>
          </cell>
          <cell r="H8">
            <v>0.52900000000000003</v>
          </cell>
        </row>
        <row r="9">
          <cell r="B9" t="str">
            <v>Ashley Guzman</v>
          </cell>
          <cell r="C9">
            <v>4259</v>
          </cell>
          <cell r="D9">
            <v>0.87170000000000003</v>
          </cell>
          <cell r="E9">
            <v>0.65149999999999997</v>
          </cell>
          <cell r="F9">
            <v>0.87170000000000003</v>
          </cell>
          <cell r="G9">
            <v>0.99609999999999999</v>
          </cell>
          <cell r="H9">
            <v>0.81810000000000005</v>
          </cell>
        </row>
        <row r="10">
          <cell r="B10" t="str">
            <v>Najiah Baker</v>
          </cell>
          <cell r="C10">
            <v>4245</v>
          </cell>
          <cell r="D10">
            <v>0.90439999999999998</v>
          </cell>
          <cell r="E10">
            <v>0.65439999999999998</v>
          </cell>
          <cell r="F10">
            <v>0.86250000000000004</v>
          </cell>
          <cell r="G10">
            <v>0.99690000000000001</v>
          </cell>
          <cell r="H10">
            <v>0.82609999999999995</v>
          </cell>
        </row>
        <row r="11">
          <cell r="B11" t="str">
            <v>Emillio Arguello</v>
          </cell>
          <cell r="C11">
            <v>4189</v>
          </cell>
          <cell r="D11">
            <v>0.87539999999999996</v>
          </cell>
          <cell r="E11">
            <v>0.67900000000000005</v>
          </cell>
          <cell r="F11">
            <v>0.90139999999999998</v>
          </cell>
          <cell r="G11">
            <v>0.99619999999999997</v>
          </cell>
          <cell r="H11">
            <v>0.83640000000000003</v>
          </cell>
        </row>
        <row r="12">
          <cell r="B12" t="str">
            <v>Samantha Mamales</v>
          </cell>
          <cell r="C12">
            <v>4100</v>
          </cell>
          <cell r="D12">
            <v>0.70030000000000003</v>
          </cell>
          <cell r="E12">
            <v>0.63060000000000005</v>
          </cell>
          <cell r="F12">
            <v>0.76859999999999995</v>
          </cell>
          <cell r="G12">
            <v>0.99580000000000002</v>
          </cell>
          <cell r="H12">
            <v>0.72940000000000005</v>
          </cell>
        </row>
        <row r="13">
          <cell r="B13" t="str">
            <v>Jarell Hall</v>
          </cell>
          <cell r="C13">
            <v>4084</v>
          </cell>
          <cell r="D13">
            <v>0.86880000000000002</v>
          </cell>
          <cell r="E13">
            <v>0.64270000000000005</v>
          </cell>
          <cell r="F13">
            <v>0.90069999999999995</v>
          </cell>
          <cell r="G13">
            <v>0.99380000000000002</v>
          </cell>
          <cell r="H13">
            <v>0.82299999999999995</v>
          </cell>
        </row>
        <row r="14">
          <cell r="B14" t="str">
            <v>Keyanna Tann</v>
          </cell>
          <cell r="C14">
            <v>4066</v>
          </cell>
          <cell r="D14">
            <v>0.76649999999999996</v>
          </cell>
          <cell r="E14">
            <v>0.73680000000000001</v>
          </cell>
          <cell r="F14">
            <v>0.90649999999999997</v>
          </cell>
          <cell r="G14">
            <v>0.99580000000000002</v>
          </cell>
          <cell r="H14">
            <v>0.82250000000000001</v>
          </cell>
        </row>
        <row r="15">
          <cell r="B15" t="str">
            <v>Justine Magana</v>
          </cell>
          <cell r="C15">
            <v>4060</v>
          </cell>
          <cell r="D15">
            <v>0.92879999999999996</v>
          </cell>
          <cell r="E15">
            <v>0.64259999999999995</v>
          </cell>
          <cell r="F15">
            <v>0.93479999999999996</v>
          </cell>
          <cell r="G15">
            <v>0.99350000000000005</v>
          </cell>
          <cell r="H15">
            <v>0.85119999999999996</v>
          </cell>
        </row>
        <row r="16">
          <cell r="B16" t="str">
            <v>Courtney Sizemore</v>
          </cell>
          <cell r="C16">
            <v>4043</v>
          </cell>
          <cell r="D16">
            <v>0.83240000000000003</v>
          </cell>
          <cell r="E16">
            <v>0.65710000000000002</v>
          </cell>
          <cell r="F16">
            <v>0.92869999999999997</v>
          </cell>
          <cell r="G16">
            <v>0.99450000000000005</v>
          </cell>
          <cell r="H16">
            <v>0.82489999999999997</v>
          </cell>
        </row>
        <row r="17">
          <cell r="B17" t="str">
            <v>Nathaniel Wesley</v>
          </cell>
          <cell r="C17">
            <v>4040</v>
          </cell>
          <cell r="D17">
            <v>0.95479999999999998</v>
          </cell>
          <cell r="E17">
            <v>0.73909999999999998</v>
          </cell>
          <cell r="F17">
            <v>0.95809999999999995</v>
          </cell>
          <cell r="G17">
            <v>0.99450000000000005</v>
          </cell>
          <cell r="H17">
            <v>0.89510000000000001</v>
          </cell>
        </row>
        <row r="18">
          <cell r="B18" t="str">
            <v>Belkis Rodriguez</v>
          </cell>
          <cell r="C18">
            <v>4037</v>
          </cell>
          <cell r="D18">
            <v>0.32150000000000001</v>
          </cell>
          <cell r="E18">
            <v>0.61380000000000001</v>
          </cell>
          <cell r="F18">
            <v>0.81110000000000004</v>
          </cell>
          <cell r="G18">
            <v>0.97589999999999999</v>
          </cell>
          <cell r="H18">
            <v>0.62150000000000005</v>
          </cell>
        </row>
        <row r="19">
          <cell r="B19" t="str">
            <v>Gill Porto</v>
          </cell>
          <cell r="C19">
            <v>4035</v>
          </cell>
          <cell r="D19">
            <v>0.78149999999999997</v>
          </cell>
          <cell r="E19">
            <v>0.66</v>
          </cell>
          <cell r="F19">
            <v>0.91159999999999997</v>
          </cell>
          <cell r="G19">
            <v>0.99780000000000002</v>
          </cell>
          <cell r="H19">
            <v>0.80569999999999997</v>
          </cell>
        </row>
        <row r="20">
          <cell r="B20" t="str">
            <v>Logan Shepherd</v>
          </cell>
          <cell r="C20">
            <v>4032</v>
          </cell>
          <cell r="D20">
            <v>0.80389999999999995</v>
          </cell>
          <cell r="E20">
            <v>0.68169999999999997</v>
          </cell>
          <cell r="F20">
            <v>0.91569999999999996</v>
          </cell>
          <cell r="G20">
            <v>0.9919</v>
          </cell>
          <cell r="H20">
            <v>0.8196</v>
          </cell>
        </row>
        <row r="21">
          <cell r="B21" t="str">
            <v>Christina White</v>
          </cell>
          <cell r="C21">
            <v>3964</v>
          </cell>
          <cell r="D21">
            <v>0.76380000000000003</v>
          </cell>
          <cell r="E21">
            <v>0.66890000000000005</v>
          </cell>
          <cell r="F21">
            <v>0.86150000000000004</v>
          </cell>
          <cell r="G21">
            <v>0.99260000000000004</v>
          </cell>
          <cell r="H21">
            <v>0.78749999999999998</v>
          </cell>
        </row>
        <row r="22">
          <cell r="B22" t="str">
            <v>Kylee Hargrove</v>
          </cell>
          <cell r="C22">
            <v>3904</v>
          </cell>
          <cell r="D22">
            <v>0.84909999999999997</v>
          </cell>
          <cell r="E22">
            <v>0.65380000000000005</v>
          </cell>
          <cell r="F22">
            <v>0.9254</v>
          </cell>
          <cell r="G22">
            <v>0.99590000000000001</v>
          </cell>
          <cell r="H22">
            <v>0.82809999999999995</v>
          </cell>
        </row>
        <row r="23">
          <cell r="B23" t="str">
            <v>Santhifica Simmons</v>
          </cell>
          <cell r="C23">
            <v>3897</v>
          </cell>
          <cell r="D23">
            <v>0.78090000000000004</v>
          </cell>
          <cell r="E23">
            <v>0.63500000000000001</v>
          </cell>
          <cell r="F23">
            <v>0.84460000000000002</v>
          </cell>
          <cell r="G23">
            <v>0.99229999999999996</v>
          </cell>
          <cell r="H23">
            <v>0.77739999999999998</v>
          </cell>
        </row>
        <row r="24">
          <cell r="B24" t="str">
            <v>Dorothy Shepherd</v>
          </cell>
          <cell r="C24">
            <v>3881</v>
          </cell>
          <cell r="D24">
            <v>0.78559999999999997</v>
          </cell>
          <cell r="E24">
            <v>0.70799999999999996</v>
          </cell>
          <cell r="F24">
            <v>0.93120000000000003</v>
          </cell>
          <cell r="G24">
            <v>0.98809999999999998</v>
          </cell>
          <cell r="H24">
            <v>0.82620000000000005</v>
          </cell>
        </row>
        <row r="25">
          <cell r="B25" t="str">
            <v>Brandy Brittain</v>
          </cell>
          <cell r="C25">
            <v>3867</v>
          </cell>
          <cell r="D25">
            <v>0.91039999999999999</v>
          </cell>
          <cell r="E25">
            <v>0.68889999999999996</v>
          </cell>
          <cell r="F25">
            <v>0.93320000000000003</v>
          </cell>
          <cell r="G25">
            <v>0.99450000000000005</v>
          </cell>
          <cell r="H25">
            <v>0.85919999999999996</v>
          </cell>
        </row>
        <row r="26">
          <cell r="B26" t="str">
            <v>Marilyn Gatto</v>
          </cell>
          <cell r="C26">
            <v>3830</v>
          </cell>
          <cell r="D26">
            <v>0.77629999999999999</v>
          </cell>
          <cell r="E26">
            <v>0.5887</v>
          </cell>
          <cell r="F26">
            <v>0.86119999999999997</v>
          </cell>
          <cell r="G26">
            <v>0.98329999999999995</v>
          </cell>
          <cell r="H26">
            <v>0.76619999999999999</v>
          </cell>
        </row>
        <row r="27">
          <cell r="B27" t="str">
            <v>Gloria Hargrove</v>
          </cell>
          <cell r="C27">
            <v>3814</v>
          </cell>
          <cell r="D27">
            <v>0.81489999999999996</v>
          </cell>
          <cell r="E27">
            <v>0.71060000000000001</v>
          </cell>
          <cell r="F27">
            <v>0.83179999999999998</v>
          </cell>
          <cell r="G27">
            <v>0.99460000000000004</v>
          </cell>
          <cell r="H27">
            <v>0.80669999999999997</v>
          </cell>
        </row>
        <row r="28">
          <cell r="B28" t="str">
            <v>Olyjawon Williams</v>
          </cell>
          <cell r="C28">
            <v>3794</v>
          </cell>
          <cell r="D28">
            <v>0.79620000000000002</v>
          </cell>
          <cell r="E28">
            <v>0.61799999999999999</v>
          </cell>
          <cell r="F28">
            <v>0.85140000000000005</v>
          </cell>
          <cell r="G28">
            <v>0.99360000000000004</v>
          </cell>
          <cell r="H28">
            <v>0.77910000000000001</v>
          </cell>
        </row>
        <row r="29">
          <cell r="B29" t="str">
            <v>Marianna Estrada-Parra</v>
          </cell>
          <cell r="C29">
            <v>3785</v>
          </cell>
          <cell r="D29">
            <v>0.76100000000000001</v>
          </cell>
          <cell r="E29">
            <v>0.6179</v>
          </cell>
          <cell r="F29">
            <v>0.83640000000000003</v>
          </cell>
          <cell r="G29">
            <v>0.99019999999999997</v>
          </cell>
          <cell r="H29">
            <v>0.76359999999999995</v>
          </cell>
        </row>
        <row r="30">
          <cell r="B30" t="str">
            <v>Warren Brooks</v>
          </cell>
          <cell r="C30">
            <v>3767</v>
          </cell>
          <cell r="D30">
            <v>0.80700000000000005</v>
          </cell>
          <cell r="E30">
            <v>0.68259999999999998</v>
          </cell>
          <cell r="F30">
            <v>0.92569999999999997</v>
          </cell>
          <cell r="G30">
            <v>0.99460000000000004</v>
          </cell>
          <cell r="H30">
            <v>0.82410000000000005</v>
          </cell>
        </row>
        <row r="31">
          <cell r="B31" t="str">
            <v>Josalyn Moore</v>
          </cell>
          <cell r="C31">
            <v>3749</v>
          </cell>
          <cell r="D31">
            <v>0.87670000000000003</v>
          </cell>
          <cell r="E31">
            <v>0.63360000000000005</v>
          </cell>
          <cell r="F31">
            <v>0.88049999999999995</v>
          </cell>
          <cell r="G31">
            <v>0.99419999999999997</v>
          </cell>
          <cell r="H31">
            <v>0.81669999999999998</v>
          </cell>
        </row>
        <row r="32">
          <cell r="B32" t="str">
            <v>Alicia Ward</v>
          </cell>
          <cell r="C32">
            <v>3745</v>
          </cell>
          <cell r="D32">
            <v>0.77370000000000005</v>
          </cell>
          <cell r="E32">
            <v>0.67459999999999998</v>
          </cell>
          <cell r="F32">
            <v>0.90980000000000005</v>
          </cell>
          <cell r="G32">
            <v>0.99299999999999999</v>
          </cell>
          <cell r="H32">
            <v>0.80669999999999997</v>
          </cell>
        </row>
        <row r="33">
          <cell r="B33" t="str">
            <v>Ryanne Heintz</v>
          </cell>
          <cell r="C33">
            <v>3734</v>
          </cell>
          <cell r="D33">
            <v>0.79710000000000003</v>
          </cell>
          <cell r="E33">
            <v>0.5706</v>
          </cell>
          <cell r="F33">
            <v>0.73080000000000001</v>
          </cell>
          <cell r="G33">
            <v>0.99719999999999998</v>
          </cell>
          <cell r="H33">
            <v>0.72929999999999995</v>
          </cell>
        </row>
        <row r="34">
          <cell r="B34" t="str">
            <v>Melissa Moore</v>
          </cell>
          <cell r="C34">
            <v>3733</v>
          </cell>
          <cell r="D34">
            <v>0.9204</v>
          </cell>
          <cell r="E34">
            <v>0.72670000000000001</v>
          </cell>
          <cell r="F34">
            <v>0.94340000000000002</v>
          </cell>
          <cell r="G34">
            <v>0.98980000000000001</v>
          </cell>
          <cell r="H34">
            <v>0.87609999999999999</v>
          </cell>
        </row>
        <row r="35">
          <cell r="B35" t="str">
            <v>Michael Colling</v>
          </cell>
          <cell r="C35">
            <v>3726</v>
          </cell>
          <cell r="D35">
            <v>0.89200000000000002</v>
          </cell>
          <cell r="E35">
            <v>0.71120000000000005</v>
          </cell>
          <cell r="F35">
            <v>0.88819999999999999</v>
          </cell>
          <cell r="G35">
            <v>0.99329999999999996</v>
          </cell>
          <cell r="H35">
            <v>0.84670000000000001</v>
          </cell>
        </row>
        <row r="36">
          <cell r="B36" t="str">
            <v>Zach Miller</v>
          </cell>
          <cell r="C36">
            <v>3712</v>
          </cell>
          <cell r="D36">
            <v>0.87870000000000004</v>
          </cell>
          <cell r="E36">
            <v>0.70069999999999999</v>
          </cell>
          <cell r="F36">
            <v>0.91369999999999996</v>
          </cell>
          <cell r="G36">
            <v>0.99299999999999999</v>
          </cell>
          <cell r="H36">
            <v>0.84719999999999995</v>
          </cell>
        </row>
        <row r="37">
          <cell r="B37" t="str">
            <v>Zach Thomas</v>
          </cell>
          <cell r="C37">
            <v>3701</v>
          </cell>
          <cell r="D37">
            <v>0.83850000000000002</v>
          </cell>
          <cell r="E37">
            <v>0.63060000000000005</v>
          </cell>
          <cell r="F37">
            <v>0.89039999999999997</v>
          </cell>
          <cell r="G37">
            <v>0.99670000000000003</v>
          </cell>
          <cell r="H37">
            <v>0.8075</v>
          </cell>
        </row>
        <row r="38">
          <cell r="B38" t="str">
            <v>Tamera Boyd</v>
          </cell>
          <cell r="C38">
            <v>3696</v>
          </cell>
          <cell r="D38">
            <v>0.82879999999999998</v>
          </cell>
          <cell r="E38">
            <v>0.69969999999999999</v>
          </cell>
          <cell r="F38">
            <v>0.88239999999999996</v>
          </cell>
          <cell r="G38">
            <v>0.99419999999999997</v>
          </cell>
          <cell r="H38">
            <v>0.82269999999999999</v>
          </cell>
        </row>
        <row r="39">
          <cell r="B39" t="str">
            <v>Laurie Pope</v>
          </cell>
          <cell r="C39">
            <v>3677</v>
          </cell>
          <cell r="D39">
            <v>0.7873</v>
          </cell>
          <cell r="E39">
            <v>0.66639999999999999</v>
          </cell>
          <cell r="F39">
            <v>0.9486</v>
          </cell>
          <cell r="G39">
            <v>0.99139999999999995</v>
          </cell>
          <cell r="H39">
            <v>0.81979999999999997</v>
          </cell>
        </row>
        <row r="40">
          <cell r="B40" t="str">
            <v>Laura Meininger</v>
          </cell>
          <cell r="C40">
            <v>3664</v>
          </cell>
          <cell r="D40">
            <v>0.89129999999999998</v>
          </cell>
          <cell r="E40">
            <v>0.68389999999999995</v>
          </cell>
          <cell r="F40">
            <v>0.85670000000000002</v>
          </cell>
          <cell r="G40">
            <v>0.99360000000000004</v>
          </cell>
          <cell r="H40">
            <v>0.82889999999999997</v>
          </cell>
        </row>
        <row r="41">
          <cell r="B41" t="str">
            <v>Jessica Herman</v>
          </cell>
          <cell r="C41">
            <v>3657</v>
          </cell>
          <cell r="D41">
            <v>0.81079999999999997</v>
          </cell>
          <cell r="E41">
            <v>0.66549999999999998</v>
          </cell>
          <cell r="F41">
            <v>0.91049999999999998</v>
          </cell>
          <cell r="G41">
            <v>0.9919</v>
          </cell>
          <cell r="H41">
            <v>0.81520000000000004</v>
          </cell>
        </row>
        <row r="42">
          <cell r="B42" t="str">
            <v>Carol Ball</v>
          </cell>
          <cell r="C42">
            <v>3657</v>
          </cell>
          <cell r="D42">
            <v>0.88700000000000001</v>
          </cell>
          <cell r="E42">
            <v>0.66769999999999996</v>
          </cell>
          <cell r="F42">
            <v>0.94340000000000002</v>
          </cell>
          <cell r="G42">
            <v>0.99719999999999998</v>
          </cell>
          <cell r="H42">
            <v>0.84909999999999997</v>
          </cell>
        </row>
        <row r="43">
          <cell r="B43" t="str">
            <v>Alexander Flores</v>
          </cell>
          <cell r="C43">
            <v>3648</v>
          </cell>
          <cell r="D43">
            <v>0.82840000000000003</v>
          </cell>
          <cell r="E43">
            <v>0.64859999999999995</v>
          </cell>
          <cell r="F43">
            <v>0.87350000000000005</v>
          </cell>
          <cell r="G43">
            <v>0.99760000000000004</v>
          </cell>
          <cell r="H43">
            <v>0.80489999999999995</v>
          </cell>
        </row>
        <row r="44">
          <cell r="B44" t="str">
            <v>Tess Fisher</v>
          </cell>
          <cell r="C44">
            <v>3629</v>
          </cell>
          <cell r="D44">
            <v>0.82889999999999997</v>
          </cell>
          <cell r="E44">
            <v>0.7238</v>
          </cell>
          <cell r="F44">
            <v>0.89639999999999997</v>
          </cell>
          <cell r="G44">
            <v>0.99460000000000004</v>
          </cell>
          <cell r="H44">
            <v>0.83420000000000005</v>
          </cell>
        </row>
        <row r="45">
          <cell r="B45" t="str">
            <v>Nicole Watkins</v>
          </cell>
          <cell r="C45">
            <v>3628</v>
          </cell>
          <cell r="D45">
            <v>0.87670000000000003</v>
          </cell>
          <cell r="E45">
            <v>0.64910000000000001</v>
          </cell>
          <cell r="F45">
            <v>0.89439999999999997</v>
          </cell>
          <cell r="G45">
            <v>0.99019999999999997</v>
          </cell>
          <cell r="H45">
            <v>0.82509999999999994</v>
          </cell>
        </row>
        <row r="46">
          <cell r="B46" t="str">
            <v>Shaniyah Singleton</v>
          </cell>
          <cell r="C46">
            <v>3618</v>
          </cell>
          <cell r="D46">
            <v>0.7883</v>
          </cell>
          <cell r="E46">
            <v>0.66390000000000005</v>
          </cell>
          <cell r="F46">
            <v>0.88129999999999997</v>
          </cell>
          <cell r="G46">
            <v>0.98560000000000003</v>
          </cell>
          <cell r="H46">
            <v>0.79859999999999998</v>
          </cell>
        </row>
        <row r="47">
          <cell r="B47" t="str">
            <v>Tamyra Farve</v>
          </cell>
          <cell r="C47">
            <v>3615</v>
          </cell>
          <cell r="D47">
            <v>0.75360000000000005</v>
          </cell>
          <cell r="E47">
            <v>0.67589999999999995</v>
          </cell>
          <cell r="F47">
            <v>0.8306</v>
          </cell>
          <cell r="G47">
            <v>0.99519999999999997</v>
          </cell>
          <cell r="H47">
            <v>0.77759999999999996</v>
          </cell>
        </row>
        <row r="48">
          <cell r="B48" t="str">
            <v>Cecilia Lopez</v>
          </cell>
          <cell r="C48">
            <v>3584</v>
          </cell>
          <cell r="D48">
            <v>0.28989999999999999</v>
          </cell>
          <cell r="E48">
            <v>0.61909999999999998</v>
          </cell>
          <cell r="F48">
            <v>0.77880000000000005</v>
          </cell>
          <cell r="G48">
            <v>0.97929999999999995</v>
          </cell>
          <cell r="H48">
            <v>0.60429999999999995</v>
          </cell>
        </row>
        <row r="49">
          <cell r="B49" t="str">
            <v>Brittney Rust</v>
          </cell>
          <cell r="C49">
            <v>3583</v>
          </cell>
          <cell r="D49">
            <v>0.76559999999999995</v>
          </cell>
          <cell r="E49">
            <v>0.66690000000000005</v>
          </cell>
          <cell r="F49">
            <v>0.84160000000000001</v>
          </cell>
          <cell r="G49">
            <v>0.98919999999999997</v>
          </cell>
          <cell r="H49">
            <v>0.78120000000000001</v>
          </cell>
        </row>
        <row r="50">
          <cell r="B50" t="str">
            <v>Madison Carr</v>
          </cell>
          <cell r="C50">
            <v>3579</v>
          </cell>
          <cell r="D50">
            <v>0.87849999999999995</v>
          </cell>
          <cell r="E50">
            <v>0.7389</v>
          </cell>
          <cell r="F50">
            <v>0.91600000000000004</v>
          </cell>
          <cell r="G50">
            <v>0.99380000000000002</v>
          </cell>
          <cell r="H50">
            <v>0.85940000000000005</v>
          </cell>
        </row>
        <row r="51">
          <cell r="B51" t="str">
            <v>Lyda Vest</v>
          </cell>
          <cell r="C51">
            <v>3568</v>
          </cell>
          <cell r="D51">
            <v>0.86380000000000001</v>
          </cell>
          <cell r="E51">
            <v>0.61760000000000004</v>
          </cell>
          <cell r="F51">
            <v>0.92230000000000001</v>
          </cell>
          <cell r="G51">
            <v>0.99690000000000001</v>
          </cell>
          <cell r="H51">
            <v>0.82079999999999997</v>
          </cell>
        </row>
        <row r="52">
          <cell r="B52" t="str">
            <v>Justine Reyes</v>
          </cell>
          <cell r="C52">
            <v>3560</v>
          </cell>
          <cell r="D52">
            <v>0.73050000000000004</v>
          </cell>
          <cell r="E52">
            <v>0.67210000000000003</v>
          </cell>
          <cell r="F52">
            <v>0.90890000000000004</v>
          </cell>
          <cell r="G52">
            <v>0.98909999999999998</v>
          </cell>
          <cell r="H52">
            <v>0.79239999999999999</v>
          </cell>
        </row>
        <row r="53">
          <cell r="B53" t="str">
            <v>Tiana Faniel</v>
          </cell>
          <cell r="C53">
            <v>3548</v>
          </cell>
          <cell r="D53">
            <v>0.81320000000000003</v>
          </cell>
          <cell r="E53">
            <v>0.6623</v>
          </cell>
          <cell r="F53">
            <v>0.81989999999999996</v>
          </cell>
          <cell r="G53">
            <v>0.99480000000000002</v>
          </cell>
          <cell r="H53">
            <v>0.78810000000000002</v>
          </cell>
        </row>
        <row r="54">
          <cell r="B54" t="str">
            <v>Enrique Longoria</v>
          </cell>
          <cell r="C54">
            <v>3547</v>
          </cell>
          <cell r="D54">
            <v>0.71489999999999998</v>
          </cell>
          <cell r="E54">
            <v>0.63239999999999996</v>
          </cell>
          <cell r="F54">
            <v>0.78979999999999995</v>
          </cell>
          <cell r="G54">
            <v>0.99350000000000005</v>
          </cell>
          <cell r="H54">
            <v>0.74050000000000005</v>
          </cell>
        </row>
        <row r="55">
          <cell r="B55" t="str">
            <v>Jasmine Willis</v>
          </cell>
          <cell r="C55">
            <v>3545</v>
          </cell>
          <cell r="D55">
            <v>0.92279999999999995</v>
          </cell>
          <cell r="E55">
            <v>0.72709999999999997</v>
          </cell>
          <cell r="F55">
            <v>0.91290000000000004</v>
          </cell>
          <cell r="G55">
            <v>0.995</v>
          </cell>
          <cell r="H55">
            <v>0.86829999999999996</v>
          </cell>
        </row>
        <row r="56">
          <cell r="B56" t="str">
            <v>Taraneshia Muwwakkil</v>
          </cell>
          <cell r="C56">
            <v>3538</v>
          </cell>
          <cell r="D56">
            <v>0.72170000000000001</v>
          </cell>
          <cell r="E56">
            <v>0.77680000000000005</v>
          </cell>
          <cell r="F56">
            <v>0.89349999999999996</v>
          </cell>
          <cell r="G56">
            <v>0.9879</v>
          </cell>
          <cell r="H56">
            <v>0.81640000000000001</v>
          </cell>
        </row>
        <row r="57">
          <cell r="B57" t="str">
            <v>Bernadin Metellus</v>
          </cell>
          <cell r="C57">
            <v>3536</v>
          </cell>
          <cell r="D57">
            <v>0.83020000000000005</v>
          </cell>
          <cell r="E57">
            <v>0.66869999999999996</v>
          </cell>
          <cell r="F57">
            <v>0.873</v>
          </cell>
          <cell r="G57">
            <v>0.99439999999999995</v>
          </cell>
          <cell r="H57">
            <v>0.81100000000000005</v>
          </cell>
        </row>
        <row r="58">
          <cell r="B58" t="str">
            <v>Mike Krynski</v>
          </cell>
          <cell r="C58">
            <v>3533</v>
          </cell>
          <cell r="D58">
            <v>0.84989999999999999</v>
          </cell>
          <cell r="E58">
            <v>0.6754</v>
          </cell>
          <cell r="F58">
            <v>0.87949999999999995</v>
          </cell>
          <cell r="G58">
            <v>0.99570000000000003</v>
          </cell>
          <cell r="H58">
            <v>0.82099999999999995</v>
          </cell>
        </row>
        <row r="59">
          <cell r="B59" t="str">
            <v>Melissa Gallagher</v>
          </cell>
          <cell r="C59">
            <v>3529</v>
          </cell>
          <cell r="D59">
            <v>0.72499999999999998</v>
          </cell>
          <cell r="E59">
            <v>0.64770000000000005</v>
          </cell>
          <cell r="F59">
            <v>0.89390000000000003</v>
          </cell>
          <cell r="G59">
            <v>0.99470000000000003</v>
          </cell>
          <cell r="H59">
            <v>0.77949999999999997</v>
          </cell>
        </row>
        <row r="60">
          <cell r="B60" t="str">
            <v>Allison Swift</v>
          </cell>
          <cell r="C60">
            <v>3528</v>
          </cell>
          <cell r="D60">
            <v>0.87329999999999997</v>
          </cell>
          <cell r="E60">
            <v>0.64410000000000001</v>
          </cell>
          <cell r="F60">
            <v>0.85519999999999996</v>
          </cell>
          <cell r="G60">
            <v>0.99729999999999996</v>
          </cell>
          <cell r="H60">
            <v>0.8115</v>
          </cell>
        </row>
        <row r="61">
          <cell r="B61" t="str">
            <v>Riyadh Al Hamdani</v>
          </cell>
          <cell r="C61">
            <v>3526</v>
          </cell>
          <cell r="D61">
            <v>0.94220000000000004</v>
          </cell>
          <cell r="E61">
            <v>0.62570000000000003</v>
          </cell>
          <cell r="F61">
            <v>0.81859999999999999</v>
          </cell>
          <cell r="G61">
            <v>0.995</v>
          </cell>
          <cell r="H61">
            <v>0.81540000000000001</v>
          </cell>
        </row>
        <row r="62">
          <cell r="B62" t="str">
            <v>Esfel Tapfuma</v>
          </cell>
          <cell r="C62">
            <v>3525</v>
          </cell>
          <cell r="D62">
            <v>0.748</v>
          </cell>
          <cell r="E62">
            <v>0.62080000000000002</v>
          </cell>
          <cell r="F62">
            <v>0.75429999999999997</v>
          </cell>
          <cell r="G62">
            <v>0.98560000000000003</v>
          </cell>
          <cell r="H62">
            <v>0.73550000000000004</v>
          </cell>
        </row>
        <row r="63">
          <cell r="B63" t="str">
            <v>Dakota Rae Gutierrez</v>
          </cell>
          <cell r="C63">
            <v>3501</v>
          </cell>
          <cell r="D63">
            <v>0.76749999999999996</v>
          </cell>
          <cell r="E63">
            <v>0.71099999999999997</v>
          </cell>
          <cell r="F63">
            <v>0.90359999999999996</v>
          </cell>
          <cell r="G63">
            <v>0.99199999999999999</v>
          </cell>
          <cell r="H63">
            <v>0.81379999999999997</v>
          </cell>
        </row>
        <row r="64">
          <cell r="B64" t="str">
            <v>Aliah Mitzel-Simon</v>
          </cell>
          <cell r="C64">
            <v>3495</v>
          </cell>
          <cell r="D64">
            <v>0.83360000000000001</v>
          </cell>
          <cell r="E64">
            <v>0.67749999999999999</v>
          </cell>
          <cell r="F64">
            <v>0.9173</v>
          </cell>
          <cell r="G64">
            <v>0.99250000000000005</v>
          </cell>
          <cell r="H64">
            <v>0.82779999999999998</v>
          </cell>
        </row>
        <row r="65">
          <cell r="B65" t="str">
            <v>Millie Barnard</v>
          </cell>
          <cell r="C65">
            <v>3494</v>
          </cell>
          <cell r="D65">
            <v>0.80669999999999997</v>
          </cell>
          <cell r="E65">
            <v>0.6784</v>
          </cell>
          <cell r="F65">
            <v>0.90429999999999999</v>
          </cell>
          <cell r="G65">
            <v>0.99629999999999996</v>
          </cell>
          <cell r="H65">
            <v>0.81640000000000001</v>
          </cell>
        </row>
        <row r="66">
          <cell r="B66" t="str">
            <v>Ayanna Gonzalez</v>
          </cell>
          <cell r="C66">
            <v>3490</v>
          </cell>
          <cell r="D66">
            <v>0.86160000000000003</v>
          </cell>
          <cell r="E66">
            <v>0.64559999999999995</v>
          </cell>
          <cell r="F66">
            <v>0.8034</v>
          </cell>
          <cell r="G66">
            <v>0.98270000000000002</v>
          </cell>
          <cell r="H66">
            <v>0.79139999999999999</v>
          </cell>
        </row>
        <row r="67">
          <cell r="B67" t="str">
            <v>Brittney Sweet</v>
          </cell>
          <cell r="C67">
            <v>3489</v>
          </cell>
          <cell r="D67">
            <v>0.73509999999999998</v>
          </cell>
          <cell r="E67">
            <v>0.62270000000000003</v>
          </cell>
          <cell r="F67">
            <v>0.83430000000000004</v>
          </cell>
          <cell r="G67">
            <v>0.98619999999999997</v>
          </cell>
          <cell r="H67">
            <v>0.75629999999999997</v>
          </cell>
        </row>
        <row r="68">
          <cell r="B68" t="str">
            <v>Candace Houston</v>
          </cell>
          <cell r="C68">
            <v>3466</v>
          </cell>
          <cell r="D68">
            <v>0.83989999999999998</v>
          </cell>
          <cell r="E68">
            <v>0.70979999999999999</v>
          </cell>
          <cell r="F68">
            <v>0.87160000000000004</v>
          </cell>
          <cell r="G68">
            <v>0.98780000000000001</v>
          </cell>
          <cell r="H68">
            <v>0.82520000000000004</v>
          </cell>
        </row>
        <row r="69">
          <cell r="B69" t="str">
            <v>Rolando Galvan</v>
          </cell>
          <cell r="C69">
            <v>3458</v>
          </cell>
          <cell r="D69">
            <v>0.76919999999999999</v>
          </cell>
          <cell r="E69">
            <v>0.67220000000000002</v>
          </cell>
          <cell r="F69">
            <v>0.84560000000000002</v>
          </cell>
          <cell r="G69">
            <v>0.99539999999999995</v>
          </cell>
          <cell r="H69">
            <v>0.78569999999999995</v>
          </cell>
        </row>
        <row r="70">
          <cell r="B70" t="str">
            <v>Darrell Moreland</v>
          </cell>
          <cell r="C70">
            <v>3442</v>
          </cell>
          <cell r="D70">
            <v>0.86499999999999999</v>
          </cell>
          <cell r="E70">
            <v>0.66069999999999995</v>
          </cell>
          <cell r="F70">
            <v>0.9012</v>
          </cell>
          <cell r="G70">
            <v>0.98809999999999998</v>
          </cell>
          <cell r="H70">
            <v>0.82689999999999997</v>
          </cell>
        </row>
        <row r="71">
          <cell r="B71" t="str">
            <v>Wesley Warrington</v>
          </cell>
          <cell r="C71">
            <v>3428</v>
          </cell>
          <cell r="D71">
            <v>0.80089999999999995</v>
          </cell>
          <cell r="E71">
            <v>0.70130000000000003</v>
          </cell>
          <cell r="F71">
            <v>0.91479999999999995</v>
          </cell>
          <cell r="G71">
            <v>0.99360000000000004</v>
          </cell>
          <cell r="H71">
            <v>0.82450000000000001</v>
          </cell>
        </row>
        <row r="72">
          <cell r="B72" t="str">
            <v>Lynnette Red Hair</v>
          </cell>
          <cell r="C72">
            <v>3422</v>
          </cell>
          <cell r="D72">
            <v>0.87680000000000002</v>
          </cell>
          <cell r="E72">
            <v>0.67869999999999997</v>
          </cell>
          <cell r="F72">
            <v>0.87619999999999998</v>
          </cell>
          <cell r="G72">
            <v>0.99209999999999998</v>
          </cell>
          <cell r="H72">
            <v>0.82869999999999999</v>
          </cell>
        </row>
        <row r="73">
          <cell r="B73" t="str">
            <v>Keshia Evans</v>
          </cell>
          <cell r="C73">
            <v>3420</v>
          </cell>
          <cell r="D73">
            <v>0.88570000000000004</v>
          </cell>
          <cell r="E73">
            <v>0.74050000000000005</v>
          </cell>
          <cell r="F73">
            <v>0.9264</v>
          </cell>
          <cell r="G73">
            <v>0.99360000000000004</v>
          </cell>
          <cell r="H73">
            <v>0.86519999999999997</v>
          </cell>
        </row>
        <row r="74">
          <cell r="B74" t="str">
            <v>Tijay Noble</v>
          </cell>
          <cell r="C74">
            <v>3419</v>
          </cell>
          <cell r="D74">
            <v>0.89500000000000002</v>
          </cell>
          <cell r="E74">
            <v>0.626</v>
          </cell>
          <cell r="F74">
            <v>0.90490000000000004</v>
          </cell>
          <cell r="G74">
            <v>0.99719999999999998</v>
          </cell>
          <cell r="H74">
            <v>0.82750000000000001</v>
          </cell>
        </row>
        <row r="75">
          <cell r="B75" t="str">
            <v>Angie Valle</v>
          </cell>
          <cell r="C75">
            <v>3416</v>
          </cell>
          <cell r="D75">
            <v>0.79910000000000003</v>
          </cell>
          <cell r="E75">
            <v>0.69450000000000001</v>
          </cell>
          <cell r="F75">
            <v>0.87360000000000004</v>
          </cell>
          <cell r="G75">
            <v>0.99260000000000004</v>
          </cell>
          <cell r="H75">
            <v>0.80940000000000001</v>
          </cell>
        </row>
        <row r="76">
          <cell r="B76" t="str">
            <v>Rita Clement</v>
          </cell>
          <cell r="C76">
            <v>3415</v>
          </cell>
          <cell r="D76">
            <v>0.7258</v>
          </cell>
          <cell r="E76">
            <v>0.8286</v>
          </cell>
          <cell r="F76">
            <v>0.84470000000000001</v>
          </cell>
          <cell r="G76">
            <v>0.99039999999999995</v>
          </cell>
          <cell r="H76">
            <v>0.81879999999999997</v>
          </cell>
        </row>
        <row r="77">
          <cell r="B77" t="str">
            <v>Marki Zamora</v>
          </cell>
          <cell r="C77">
            <v>3410</v>
          </cell>
          <cell r="D77">
            <v>0.77710000000000001</v>
          </cell>
          <cell r="E77">
            <v>0.68830000000000002</v>
          </cell>
          <cell r="F77">
            <v>0.81289999999999996</v>
          </cell>
          <cell r="G77">
            <v>0.99460000000000004</v>
          </cell>
          <cell r="H77">
            <v>0.78290000000000004</v>
          </cell>
        </row>
        <row r="78">
          <cell r="B78" t="str">
            <v>Kevin Forbes</v>
          </cell>
          <cell r="C78">
            <v>3408</v>
          </cell>
          <cell r="D78">
            <v>0.79290000000000005</v>
          </cell>
          <cell r="E78">
            <v>0.63470000000000004</v>
          </cell>
          <cell r="F78">
            <v>0.84770000000000001</v>
          </cell>
          <cell r="G78">
            <v>0.99450000000000005</v>
          </cell>
          <cell r="H78">
            <v>0.78210000000000002</v>
          </cell>
        </row>
        <row r="79">
          <cell r="B79" t="str">
            <v>Michael Huggins</v>
          </cell>
          <cell r="C79">
            <v>3406</v>
          </cell>
          <cell r="D79">
            <v>0.92579999999999996</v>
          </cell>
          <cell r="E79">
            <v>0.7278</v>
          </cell>
          <cell r="F79">
            <v>0.93820000000000003</v>
          </cell>
          <cell r="G79">
            <v>0.99380000000000002</v>
          </cell>
          <cell r="H79">
            <v>0.87690000000000001</v>
          </cell>
        </row>
        <row r="80">
          <cell r="B80" t="str">
            <v>Nasheka Goodwin</v>
          </cell>
          <cell r="C80">
            <v>3399</v>
          </cell>
          <cell r="D80">
            <v>0.91400000000000003</v>
          </cell>
          <cell r="E80">
            <v>0.68130000000000002</v>
          </cell>
          <cell r="F80">
            <v>0.8407</v>
          </cell>
          <cell r="G80">
            <v>0.99519999999999997</v>
          </cell>
          <cell r="H80">
            <v>0.83030000000000004</v>
          </cell>
        </row>
        <row r="81">
          <cell r="B81" t="str">
            <v>Bryan Esquivel</v>
          </cell>
          <cell r="C81">
            <v>3393</v>
          </cell>
          <cell r="D81">
            <v>0.84809999999999997</v>
          </cell>
          <cell r="E81">
            <v>0.64580000000000004</v>
          </cell>
          <cell r="F81">
            <v>0.83940000000000003</v>
          </cell>
          <cell r="G81">
            <v>0.99539999999999995</v>
          </cell>
          <cell r="H81">
            <v>0.79959999999999998</v>
          </cell>
        </row>
        <row r="82">
          <cell r="B82" t="str">
            <v>Destiny Royston</v>
          </cell>
          <cell r="C82">
            <v>3386</v>
          </cell>
          <cell r="D82">
            <v>0.85150000000000003</v>
          </cell>
          <cell r="E82">
            <v>0.64790000000000003</v>
          </cell>
          <cell r="F82">
            <v>0.89059999999999995</v>
          </cell>
          <cell r="G82">
            <v>0.99760000000000004</v>
          </cell>
          <cell r="H82">
            <v>0.81669999999999998</v>
          </cell>
        </row>
        <row r="83">
          <cell r="B83" t="str">
            <v>Tyquisha Taylor</v>
          </cell>
          <cell r="C83">
            <v>3381</v>
          </cell>
          <cell r="D83">
            <v>0.91690000000000005</v>
          </cell>
          <cell r="E83">
            <v>0.71830000000000005</v>
          </cell>
          <cell r="F83">
            <v>0.9214</v>
          </cell>
          <cell r="G83">
            <v>0.99819999999999998</v>
          </cell>
          <cell r="H83">
            <v>0.86680000000000001</v>
          </cell>
        </row>
        <row r="84">
          <cell r="B84" t="str">
            <v>Shelby Riley</v>
          </cell>
          <cell r="C84">
            <v>3365</v>
          </cell>
          <cell r="D84">
            <v>0.78690000000000004</v>
          </cell>
          <cell r="E84">
            <v>0.65100000000000002</v>
          </cell>
          <cell r="F84">
            <v>0.88939999999999997</v>
          </cell>
          <cell r="G84">
            <v>0.99619999999999997</v>
          </cell>
          <cell r="H84">
            <v>0.79779999999999995</v>
          </cell>
        </row>
        <row r="85">
          <cell r="B85" t="str">
            <v>Marissa Morales</v>
          </cell>
          <cell r="C85">
            <v>3365</v>
          </cell>
          <cell r="D85">
            <v>0.82020000000000004</v>
          </cell>
          <cell r="E85">
            <v>0.70069999999999999</v>
          </cell>
          <cell r="F85">
            <v>0.90610000000000002</v>
          </cell>
          <cell r="G85">
            <v>0.99029999999999996</v>
          </cell>
          <cell r="H85">
            <v>0.82709999999999995</v>
          </cell>
        </row>
        <row r="86">
          <cell r="B86" t="str">
            <v>Anahi De Los Reyes Viesca</v>
          </cell>
          <cell r="C86">
            <v>3360</v>
          </cell>
          <cell r="D86">
            <v>0.81850000000000001</v>
          </cell>
          <cell r="E86">
            <v>0.6694</v>
          </cell>
          <cell r="F86">
            <v>0.86919999999999997</v>
          </cell>
          <cell r="G86">
            <v>0.99580000000000002</v>
          </cell>
          <cell r="H86">
            <v>0.80669999999999997</v>
          </cell>
        </row>
        <row r="87">
          <cell r="B87" t="str">
            <v>Gabriela Flores</v>
          </cell>
          <cell r="C87">
            <v>3359</v>
          </cell>
          <cell r="D87">
            <v>0.80279999999999996</v>
          </cell>
          <cell r="E87">
            <v>0.75</v>
          </cell>
          <cell r="F87">
            <v>0.8861</v>
          </cell>
          <cell r="G87">
            <v>0.99419999999999997</v>
          </cell>
          <cell r="H87">
            <v>0.83109999999999995</v>
          </cell>
        </row>
        <row r="88">
          <cell r="B88" t="str">
            <v>Courtney Rice</v>
          </cell>
          <cell r="C88">
            <v>3350</v>
          </cell>
          <cell r="D88">
            <v>0.84119999999999995</v>
          </cell>
          <cell r="E88">
            <v>0.66990000000000005</v>
          </cell>
          <cell r="F88">
            <v>0.92400000000000004</v>
          </cell>
          <cell r="G88">
            <v>0.99370000000000003</v>
          </cell>
          <cell r="H88">
            <v>0.82989999999999997</v>
          </cell>
        </row>
        <row r="89">
          <cell r="B89" t="str">
            <v>Sheree Coleman</v>
          </cell>
          <cell r="C89">
            <v>3349</v>
          </cell>
          <cell r="D89">
            <v>0.7752</v>
          </cell>
          <cell r="E89">
            <v>0.66100000000000003</v>
          </cell>
          <cell r="F89">
            <v>0.90259999999999996</v>
          </cell>
          <cell r="G89">
            <v>0.99109999999999998</v>
          </cell>
          <cell r="H89">
            <v>0.80069999999999997</v>
          </cell>
        </row>
        <row r="90">
          <cell r="B90" t="str">
            <v>Tanquir Mauldin</v>
          </cell>
          <cell r="C90">
            <v>3348</v>
          </cell>
          <cell r="D90">
            <v>0.83109999999999995</v>
          </cell>
          <cell r="E90">
            <v>0.60670000000000002</v>
          </cell>
          <cell r="F90">
            <v>0.7349</v>
          </cell>
          <cell r="G90">
            <v>0.99519999999999997</v>
          </cell>
          <cell r="H90">
            <v>0.75129999999999997</v>
          </cell>
        </row>
        <row r="91">
          <cell r="B91" t="str">
            <v>Erich Blume</v>
          </cell>
          <cell r="C91">
            <v>3347</v>
          </cell>
          <cell r="D91">
            <v>0.72799999999999998</v>
          </cell>
          <cell r="E91">
            <v>0.8387</v>
          </cell>
          <cell r="F91">
            <v>0.87639999999999996</v>
          </cell>
          <cell r="G91">
            <v>0.9929</v>
          </cell>
          <cell r="H91">
            <v>0.83220000000000005</v>
          </cell>
        </row>
        <row r="92">
          <cell r="B92" t="str">
            <v>Cassie Hancher</v>
          </cell>
          <cell r="C92">
            <v>3343</v>
          </cell>
          <cell r="D92">
            <v>0.83160000000000001</v>
          </cell>
          <cell r="E92">
            <v>0.65959999999999996</v>
          </cell>
          <cell r="F92">
            <v>0.87870000000000004</v>
          </cell>
          <cell r="G92">
            <v>0.9899</v>
          </cell>
          <cell r="H92">
            <v>0.81</v>
          </cell>
        </row>
        <row r="93">
          <cell r="B93" t="str">
            <v>Mysha Jones</v>
          </cell>
          <cell r="C93">
            <v>3340</v>
          </cell>
          <cell r="D93">
            <v>0.84219999999999995</v>
          </cell>
          <cell r="E93">
            <v>0.70009999999999994</v>
          </cell>
          <cell r="F93">
            <v>0.90859999999999996</v>
          </cell>
          <cell r="G93">
            <v>0.99009999999999998</v>
          </cell>
          <cell r="H93">
            <v>0.83430000000000004</v>
          </cell>
        </row>
        <row r="94">
          <cell r="B94" t="str">
            <v>Jason Andrews</v>
          </cell>
          <cell r="C94">
            <v>3339</v>
          </cell>
          <cell r="D94">
            <v>0.76060000000000005</v>
          </cell>
          <cell r="E94">
            <v>0.6159</v>
          </cell>
          <cell r="F94">
            <v>0.79830000000000001</v>
          </cell>
          <cell r="G94">
            <v>0.99380000000000002</v>
          </cell>
          <cell r="H94">
            <v>0.75180000000000002</v>
          </cell>
        </row>
        <row r="95">
          <cell r="B95" t="str">
            <v>Frances Hill</v>
          </cell>
          <cell r="C95">
            <v>3331</v>
          </cell>
          <cell r="D95">
            <v>0.81</v>
          </cell>
          <cell r="E95">
            <v>0.69010000000000005</v>
          </cell>
          <cell r="F95">
            <v>0.91400000000000003</v>
          </cell>
          <cell r="G95">
            <v>0.99260000000000004</v>
          </cell>
          <cell r="H95">
            <v>0.82350000000000001</v>
          </cell>
        </row>
        <row r="96">
          <cell r="B96" t="str">
            <v>Erica Cano</v>
          </cell>
          <cell r="C96">
            <v>3325</v>
          </cell>
          <cell r="D96">
            <v>0.77639999999999998</v>
          </cell>
          <cell r="E96">
            <v>0.70009999999999994</v>
          </cell>
          <cell r="F96">
            <v>0.87849999999999995</v>
          </cell>
          <cell r="G96">
            <v>0.99480000000000002</v>
          </cell>
          <cell r="H96">
            <v>0.80600000000000005</v>
          </cell>
        </row>
        <row r="97">
          <cell r="B97" t="str">
            <v>Marcellous Dennis</v>
          </cell>
          <cell r="C97">
            <v>3317</v>
          </cell>
          <cell r="D97">
            <v>0.91320000000000001</v>
          </cell>
          <cell r="E97">
            <v>0.71909999999999996</v>
          </cell>
          <cell r="F97">
            <v>0.93540000000000001</v>
          </cell>
          <cell r="G97">
            <v>0.99490000000000001</v>
          </cell>
          <cell r="H97">
            <v>0.86980000000000002</v>
          </cell>
        </row>
        <row r="98">
          <cell r="B98" t="str">
            <v>Cordelia Henry</v>
          </cell>
          <cell r="C98">
            <v>3314</v>
          </cell>
          <cell r="D98">
            <v>0.8085</v>
          </cell>
          <cell r="E98">
            <v>0.70209999999999995</v>
          </cell>
          <cell r="F98">
            <v>0.91649999999999998</v>
          </cell>
          <cell r="G98">
            <v>0.98409999999999997</v>
          </cell>
          <cell r="H98">
            <v>0.82650000000000001</v>
          </cell>
        </row>
        <row r="99">
          <cell r="B99" t="str">
            <v>Alexus Lee</v>
          </cell>
          <cell r="C99">
            <v>3312</v>
          </cell>
          <cell r="D99">
            <v>0.92059999999999997</v>
          </cell>
          <cell r="E99">
            <v>0.75449999999999995</v>
          </cell>
          <cell r="F99">
            <v>0.90969999999999995</v>
          </cell>
          <cell r="G99">
            <v>0.99460000000000004</v>
          </cell>
          <cell r="H99">
            <v>0.87490000000000001</v>
          </cell>
        </row>
        <row r="100">
          <cell r="B100" t="str">
            <v>Cheyanne Davis</v>
          </cell>
          <cell r="C100">
            <v>3308</v>
          </cell>
          <cell r="D100">
            <v>0.92610000000000003</v>
          </cell>
          <cell r="E100">
            <v>0.7177</v>
          </cell>
          <cell r="F100">
            <v>0.94720000000000004</v>
          </cell>
          <cell r="G100">
            <v>0.99709999999999999</v>
          </cell>
          <cell r="H100">
            <v>0.877</v>
          </cell>
        </row>
        <row r="101">
          <cell r="B101" t="str">
            <v>Cecilio Reyes</v>
          </cell>
          <cell r="C101">
            <v>3306</v>
          </cell>
          <cell r="D101">
            <v>0.80679999999999996</v>
          </cell>
          <cell r="E101">
            <v>0.63839999999999997</v>
          </cell>
          <cell r="F101">
            <v>0.87060000000000004</v>
          </cell>
          <cell r="G101">
            <v>0.99519999999999997</v>
          </cell>
          <cell r="H101">
            <v>0.79430000000000001</v>
          </cell>
        </row>
        <row r="102">
          <cell r="B102" t="str">
            <v>TeOnnia Davis</v>
          </cell>
          <cell r="C102">
            <v>3303</v>
          </cell>
          <cell r="D102">
            <v>0.86050000000000004</v>
          </cell>
          <cell r="E102">
            <v>0.55210000000000004</v>
          </cell>
          <cell r="F102">
            <v>0.69389999999999996</v>
          </cell>
          <cell r="G102">
            <v>0.99539999999999995</v>
          </cell>
          <cell r="H102">
            <v>0.73150000000000004</v>
          </cell>
        </row>
        <row r="103">
          <cell r="B103" t="str">
            <v>Kristy Tijerina</v>
          </cell>
          <cell r="C103">
            <v>3294</v>
          </cell>
          <cell r="D103">
            <v>0.89710000000000001</v>
          </cell>
          <cell r="E103">
            <v>0.72040000000000004</v>
          </cell>
          <cell r="F103">
            <v>0.90559999999999996</v>
          </cell>
          <cell r="G103">
            <v>0.99339999999999995</v>
          </cell>
          <cell r="H103">
            <v>0.85629999999999995</v>
          </cell>
        </row>
        <row r="104">
          <cell r="B104" t="str">
            <v>Isaiah Hunter</v>
          </cell>
          <cell r="C104">
            <v>3290</v>
          </cell>
          <cell r="D104">
            <v>0.84809999999999997</v>
          </cell>
          <cell r="E104">
            <v>0.60270000000000001</v>
          </cell>
          <cell r="F104">
            <v>0.8377</v>
          </cell>
          <cell r="G104">
            <v>0.99650000000000005</v>
          </cell>
          <cell r="H104">
            <v>0.78620000000000001</v>
          </cell>
        </row>
        <row r="105">
          <cell r="B105" t="str">
            <v>Andres Morales</v>
          </cell>
          <cell r="C105">
            <v>3289</v>
          </cell>
          <cell r="D105">
            <v>0.88619999999999999</v>
          </cell>
          <cell r="E105">
            <v>0.63490000000000002</v>
          </cell>
          <cell r="F105">
            <v>0.84379999999999999</v>
          </cell>
          <cell r="G105">
            <v>0.99629999999999996</v>
          </cell>
          <cell r="H105">
            <v>0.80910000000000004</v>
          </cell>
        </row>
        <row r="106">
          <cell r="B106" t="str">
            <v>Jennifer Klein</v>
          </cell>
          <cell r="C106">
            <v>3286</v>
          </cell>
          <cell r="D106">
            <v>0.76870000000000005</v>
          </cell>
          <cell r="E106">
            <v>0.73429999999999995</v>
          </cell>
          <cell r="F106">
            <v>0.92149999999999999</v>
          </cell>
          <cell r="G106">
            <v>0.99629999999999996</v>
          </cell>
          <cell r="H106">
            <v>0.82699999999999996</v>
          </cell>
        </row>
        <row r="107">
          <cell r="B107" t="str">
            <v>Briscilla Mejia</v>
          </cell>
          <cell r="C107">
            <v>3286</v>
          </cell>
          <cell r="D107">
            <v>0.81110000000000004</v>
          </cell>
          <cell r="E107">
            <v>0.72540000000000004</v>
          </cell>
          <cell r="F107">
            <v>0.91659999999999997</v>
          </cell>
          <cell r="G107">
            <v>0.99339999999999995</v>
          </cell>
          <cell r="H107">
            <v>0.83530000000000004</v>
          </cell>
        </row>
        <row r="108">
          <cell r="B108" t="str">
            <v>Jennifer Gibbons</v>
          </cell>
          <cell r="C108">
            <v>3285</v>
          </cell>
          <cell r="D108">
            <v>0.84050000000000002</v>
          </cell>
          <cell r="E108">
            <v>0.64370000000000005</v>
          </cell>
          <cell r="F108">
            <v>0.86899999999999999</v>
          </cell>
          <cell r="G108">
            <v>0.99580000000000002</v>
          </cell>
          <cell r="H108">
            <v>0.80549999999999999</v>
          </cell>
        </row>
        <row r="109">
          <cell r="B109" t="str">
            <v>Chelby Stevenson</v>
          </cell>
          <cell r="C109">
            <v>3279</v>
          </cell>
          <cell r="D109">
            <v>0.93969999999999998</v>
          </cell>
          <cell r="E109">
            <v>0.72119999999999995</v>
          </cell>
          <cell r="F109">
            <v>0.91180000000000005</v>
          </cell>
          <cell r="G109">
            <v>0.99380000000000002</v>
          </cell>
          <cell r="H109">
            <v>0.87119999999999997</v>
          </cell>
        </row>
        <row r="110">
          <cell r="B110" t="str">
            <v>Shawna Weeg</v>
          </cell>
          <cell r="C110">
            <v>3276</v>
          </cell>
          <cell r="D110">
            <v>0.76019999999999999</v>
          </cell>
          <cell r="E110">
            <v>0.64610000000000001</v>
          </cell>
          <cell r="F110">
            <v>0.87190000000000001</v>
          </cell>
          <cell r="G110">
            <v>0.99080000000000001</v>
          </cell>
          <cell r="H110">
            <v>0.78249999999999997</v>
          </cell>
        </row>
        <row r="111">
          <cell r="B111" t="str">
            <v>Jabria Easter</v>
          </cell>
          <cell r="C111">
            <v>3274</v>
          </cell>
          <cell r="D111">
            <v>0.91090000000000004</v>
          </cell>
          <cell r="E111">
            <v>0.63390000000000002</v>
          </cell>
          <cell r="F111">
            <v>0.8619</v>
          </cell>
          <cell r="G111">
            <v>0.99</v>
          </cell>
          <cell r="H111">
            <v>0.82099999999999995</v>
          </cell>
        </row>
        <row r="112">
          <cell r="B112" t="str">
            <v>Samantha Stone</v>
          </cell>
          <cell r="C112">
            <v>3264</v>
          </cell>
          <cell r="D112">
            <v>0.89649999999999996</v>
          </cell>
          <cell r="E112">
            <v>0.68400000000000005</v>
          </cell>
          <cell r="F112">
            <v>0.89649999999999996</v>
          </cell>
          <cell r="G112">
            <v>0.99360000000000004</v>
          </cell>
          <cell r="H112">
            <v>0.84250000000000003</v>
          </cell>
        </row>
        <row r="113">
          <cell r="B113" t="str">
            <v>David Serrano-Renteria</v>
          </cell>
          <cell r="C113">
            <v>3262</v>
          </cell>
          <cell r="D113">
            <v>0.74680000000000002</v>
          </cell>
          <cell r="E113">
            <v>0.63719999999999999</v>
          </cell>
          <cell r="F113">
            <v>0.89329999999999998</v>
          </cell>
          <cell r="G113">
            <v>0.99539999999999995</v>
          </cell>
          <cell r="H113">
            <v>0.78269999999999995</v>
          </cell>
        </row>
        <row r="114">
          <cell r="B114" t="str">
            <v>Ashley Lawyer</v>
          </cell>
          <cell r="C114">
            <v>3260</v>
          </cell>
          <cell r="D114">
            <v>0.86509999999999998</v>
          </cell>
          <cell r="E114">
            <v>0.6966</v>
          </cell>
          <cell r="F114">
            <v>0.93520000000000003</v>
          </cell>
          <cell r="G114">
            <v>0.99319999999999997</v>
          </cell>
          <cell r="H114">
            <v>0.84840000000000004</v>
          </cell>
        </row>
        <row r="115">
          <cell r="B115" t="str">
            <v>Ashley De La Hoya</v>
          </cell>
          <cell r="C115">
            <v>3254</v>
          </cell>
          <cell r="D115">
            <v>0.87460000000000004</v>
          </cell>
          <cell r="E115">
            <v>0.75680000000000003</v>
          </cell>
          <cell r="F115">
            <v>0.89700000000000002</v>
          </cell>
          <cell r="G115">
            <v>0.99170000000000003</v>
          </cell>
          <cell r="H115">
            <v>0.85770000000000002</v>
          </cell>
        </row>
        <row r="116">
          <cell r="B116" t="str">
            <v>Andrew Trevino</v>
          </cell>
          <cell r="C116">
            <v>3248</v>
          </cell>
          <cell r="D116">
            <v>0.879</v>
          </cell>
          <cell r="E116">
            <v>0.66110000000000002</v>
          </cell>
          <cell r="F116">
            <v>0.88580000000000003</v>
          </cell>
          <cell r="G116">
            <v>0.99380000000000002</v>
          </cell>
          <cell r="H116">
            <v>0.82709999999999995</v>
          </cell>
        </row>
        <row r="117">
          <cell r="B117" t="str">
            <v>Tamera Estes</v>
          </cell>
          <cell r="C117">
            <v>3244</v>
          </cell>
          <cell r="D117">
            <v>0.96040000000000003</v>
          </cell>
          <cell r="E117">
            <v>0.70720000000000005</v>
          </cell>
          <cell r="F117">
            <v>0.90039999999999998</v>
          </cell>
          <cell r="G117">
            <v>0.99280000000000002</v>
          </cell>
          <cell r="H117">
            <v>0.86970000000000003</v>
          </cell>
        </row>
        <row r="118">
          <cell r="B118" t="str">
            <v>Alyssa Christian</v>
          </cell>
          <cell r="C118">
            <v>3233</v>
          </cell>
          <cell r="D118">
            <v>0.83650000000000002</v>
          </cell>
          <cell r="E118">
            <v>0.6996</v>
          </cell>
          <cell r="F118">
            <v>0.88</v>
          </cell>
          <cell r="G118">
            <v>0.99470000000000003</v>
          </cell>
          <cell r="H118">
            <v>0.82430000000000003</v>
          </cell>
        </row>
        <row r="119">
          <cell r="B119" t="str">
            <v>Cassandra Fish</v>
          </cell>
          <cell r="C119">
            <v>3230</v>
          </cell>
          <cell r="D119">
            <v>0.87329999999999997</v>
          </cell>
          <cell r="E119">
            <v>0.65159999999999996</v>
          </cell>
          <cell r="F119">
            <v>0.85270000000000001</v>
          </cell>
          <cell r="G119">
            <v>0.99429999999999996</v>
          </cell>
          <cell r="H119">
            <v>0.81269999999999998</v>
          </cell>
        </row>
        <row r="120">
          <cell r="B120" t="str">
            <v>Jalynsia Price</v>
          </cell>
          <cell r="C120">
            <v>3228</v>
          </cell>
          <cell r="D120">
            <v>0.93400000000000005</v>
          </cell>
          <cell r="E120">
            <v>0.7762</v>
          </cell>
          <cell r="F120">
            <v>0.91249999999999998</v>
          </cell>
          <cell r="G120">
            <v>0.98860000000000003</v>
          </cell>
          <cell r="H120">
            <v>0.88570000000000004</v>
          </cell>
        </row>
        <row r="121">
          <cell r="B121" t="str">
            <v>Qwen Roberts</v>
          </cell>
          <cell r="C121">
            <v>3217</v>
          </cell>
          <cell r="D121">
            <v>0.84260000000000002</v>
          </cell>
          <cell r="E121">
            <v>0.68410000000000004</v>
          </cell>
          <cell r="F121">
            <v>0.83089999999999997</v>
          </cell>
          <cell r="G121">
            <v>0.9869</v>
          </cell>
          <cell r="H121">
            <v>0.80600000000000005</v>
          </cell>
        </row>
        <row r="122">
          <cell r="B122" t="str">
            <v>Adrianna Bocanegra</v>
          </cell>
          <cell r="C122">
            <v>3216</v>
          </cell>
          <cell r="D122">
            <v>0.81759999999999999</v>
          </cell>
          <cell r="E122">
            <v>0.66439999999999999</v>
          </cell>
          <cell r="F122">
            <v>0.81899999999999995</v>
          </cell>
          <cell r="G122">
            <v>0.99590000000000001</v>
          </cell>
          <cell r="H122">
            <v>0.78990000000000005</v>
          </cell>
        </row>
        <row r="123">
          <cell r="B123" t="str">
            <v>Deijane Dickson</v>
          </cell>
          <cell r="C123">
            <v>3214</v>
          </cell>
          <cell r="D123">
            <v>0.84019999999999995</v>
          </cell>
          <cell r="E123">
            <v>0.67490000000000006</v>
          </cell>
          <cell r="F123">
            <v>0.83260000000000001</v>
          </cell>
          <cell r="G123">
            <v>0.99399999999999999</v>
          </cell>
          <cell r="H123">
            <v>0.80369999999999997</v>
          </cell>
        </row>
        <row r="124">
          <cell r="B124" t="str">
            <v>Tabitha Spain</v>
          </cell>
          <cell r="C124">
            <v>3212</v>
          </cell>
          <cell r="D124">
            <v>0.8115</v>
          </cell>
          <cell r="E124">
            <v>0.64259999999999995</v>
          </cell>
          <cell r="F124">
            <v>0.83989999999999998</v>
          </cell>
          <cell r="G124">
            <v>0.99250000000000005</v>
          </cell>
          <cell r="H124">
            <v>0.78739999999999999</v>
          </cell>
        </row>
        <row r="125">
          <cell r="B125" t="str">
            <v>Jacob Hernandez</v>
          </cell>
          <cell r="C125">
            <v>3206</v>
          </cell>
          <cell r="D125">
            <v>0.85760000000000003</v>
          </cell>
          <cell r="E125">
            <v>0.66700000000000004</v>
          </cell>
          <cell r="F125">
            <v>0.89829999999999999</v>
          </cell>
          <cell r="G125">
            <v>0.99590000000000001</v>
          </cell>
          <cell r="H125">
            <v>0.82650000000000001</v>
          </cell>
        </row>
        <row r="126">
          <cell r="B126" t="str">
            <v>Ronald Young</v>
          </cell>
          <cell r="C126">
            <v>3205</v>
          </cell>
          <cell r="D126">
            <v>0.84909999999999997</v>
          </cell>
          <cell r="E126">
            <v>0.66549999999999998</v>
          </cell>
          <cell r="F126">
            <v>0.91579999999999995</v>
          </cell>
          <cell r="G126">
            <v>0.97750000000000004</v>
          </cell>
          <cell r="H126">
            <v>0.82689999999999997</v>
          </cell>
        </row>
        <row r="127">
          <cell r="B127" t="str">
            <v>Kayla Neufeld</v>
          </cell>
          <cell r="C127">
            <v>3205</v>
          </cell>
          <cell r="D127">
            <v>0.875</v>
          </cell>
          <cell r="E127">
            <v>0.70589999999999997</v>
          </cell>
          <cell r="F127">
            <v>0.92490000000000006</v>
          </cell>
          <cell r="G127">
            <v>0.99419999999999997</v>
          </cell>
          <cell r="H127">
            <v>0.85119999999999996</v>
          </cell>
        </row>
        <row r="128">
          <cell r="B128" t="str">
            <v>Edarious Williams</v>
          </cell>
          <cell r="C128">
            <v>3203</v>
          </cell>
          <cell r="D128">
            <v>0.76780000000000004</v>
          </cell>
          <cell r="E128">
            <v>0.65620000000000001</v>
          </cell>
          <cell r="F128">
            <v>0.89729999999999999</v>
          </cell>
          <cell r="G128">
            <v>0.99480000000000002</v>
          </cell>
          <cell r="H128">
            <v>0.79590000000000005</v>
          </cell>
        </row>
        <row r="129">
          <cell r="B129" t="str">
            <v>Jaclyn Urdialez</v>
          </cell>
          <cell r="C129">
            <v>3197</v>
          </cell>
          <cell r="D129">
            <v>0.79979999999999996</v>
          </cell>
          <cell r="E129">
            <v>0.67</v>
          </cell>
          <cell r="F129">
            <v>0.95640000000000003</v>
          </cell>
          <cell r="G129">
            <v>0.99439999999999995</v>
          </cell>
          <cell r="H129">
            <v>0.82730000000000004</v>
          </cell>
        </row>
        <row r="130">
          <cell r="B130" t="str">
            <v>Kahdejah Warner</v>
          </cell>
          <cell r="C130">
            <v>3196</v>
          </cell>
          <cell r="D130">
            <v>0.82069999999999999</v>
          </cell>
          <cell r="E130">
            <v>0.66110000000000002</v>
          </cell>
          <cell r="F130">
            <v>0.8518</v>
          </cell>
          <cell r="G130">
            <v>0.98980000000000001</v>
          </cell>
          <cell r="H130">
            <v>0.79910000000000003</v>
          </cell>
        </row>
        <row r="131">
          <cell r="B131" t="str">
            <v>Bill Stevenson</v>
          </cell>
          <cell r="C131">
            <v>3185</v>
          </cell>
          <cell r="D131">
            <v>0.78459999999999996</v>
          </cell>
          <cell r="E131">
            <v>0.65800000000000003</v>
          </cell>
          <cell r="F131">
            <v>0.91090000000000004</v>
          </cell>
          <cell r="G131">
            <v>0.99729999999999996</v>
          </cell>
          <cell r="H131">
            <v>0.80579999999999996</v>
          </cell>
        </row>
        <row r="132">
          <cell r="B132" t="str">
            <v>Aaron Schaper</v>
          </cell>
          <cell r="C132">
            <v>3184</v>
          </cell>
          <cell r="D132">
            <v>0.8599</v>
          </cell>
          <cell r="E132">
            <v>0.70779999999999998</v>
          </cell>
          <cell r="F132">
            <v>0.91180000000000005</v>
          </cell>
          <cell r="G132">
            <v>0.9929</v>
          </cell>
          <cell r="H132">
            <v>0.84309999999999996</v>
          </cell>
        </row>
        <row r="133">
          <cell r="B133" t="str">
            <v>Joamanda Wright</v>
          </cell>
          <cell r="C133">
            <v>3175</v>
          </cell>
          <cell r="D133">
            <v>0.73670000000000002</v>
          </cell>
          <cell r="E133">
            <v>0.60389999999999999</v>
          </cell>
          <cell r="F133">
            <v>0.78739999999999999</v>
          </cell>
          <cell r="G133">
            <v>0.98709999999999998</v>
          </cell>
          <cell r="H133">
            <v>0.73709999999999998</v>
          </cell>
        </row>
        <row r="134">
          <cell r="B134" t="str">
            <v>Ashley Vanlerberg</v>
          </cell>
          <cell r="C134">
            <v>3172</v>
          </cell>
          <cell r="D134">
            <v>0.84970000000000001</v>
          </cell>
          <cell r="E134">
            <v>0.64549999999999996</v>
          </cell>
          <cell r="F134">
            <v>0.79279999999999995</v>
          </cell>
          <cell r="G134">
            <v>0.98980000000000001</v>
          </cell>
          <cell r="H134">
            <v>0.78539999999999999</v>
          </cell>
        </row>
        <row r="135">
          <cell r="B135" t="str">
            <v>Jacqueline Hurts</v>
          </cell>
          <cell r="C135">
            <v>3167</v>
          </cell>
          <cell r="D135">
            <v>0.8407</v>
          </cell>
          <cell r="E135">
            <v>0.69730000000000003</v>
          </cell>
          <cell r="F135">
            <v>0.88939999999999997</v>
          </cell>
          <cell r="G135">
            <v>0.99170000000000003</v>
          </cell>
          <cell r="H135">
            <v>0.82740000000000002</v>
          </cell>
        </row>
        <row r="136">
          <cell r="B136" t="str">
            <v>Jessica Juarez</v>
          </cell>
          <cell r="C136">
            <v>3160</v>
          </cell>
          <cell r="D136">
            <v>0.74439999999999995</v>
          </cell>
          <cell r="E136">
            <v>0.63400000000000001</v>
          </cell>
          <cell r="F136">
            <v>0.81569999999999998</v>
          </cell>
          <cell r="G136">
            <v>0.995</v>
          </cell>
          <cell r="H136">
            <v>0.75770000000000004</v>
          </cell>
        </row>
        <row r="137">
          <cell r="B137" t="str">
            <v>Taylor Quint</v>
          </cell>
          <cell r="C137">
            <v>3160</v>
          </cell>
          <cell r="D137">
            <v>0.88549999999999995</v>
          </cell>
          <cell r="E137">
            <v>0.6542</v>
          </cell>
          <cell r="F137">
            <v>0.87780000000000002</v>
          </cell>
          <cell r="G137">
            <v>0.99439999999999995</v>
          </cell>
          <cell r="H137">
            <v>0.82469999999999999</v>
          </cell>
        </row>
        <row r="138">
          <cell r="B138" t="str">
            <v>Jasmine Moydell</v>
          </cell>
          <cell r="C138">
            <v>3159</v>
          </cell>
          <cell r="D138">
            <v>0.82389999999999997</v>
          </cell>
          <cell r="E138">
            <v>0.67600000000000005</v>
          </cell>
          <cell r="F138">
            <v>0.89959999999999996</v>
          </cell>
          <cell r="G138">
            <v>0.9919</v>
          </cell>
          <cell r="H138">
            <v>0.81899999999999995</v>
          </cell>
        </row>
        <row r="139">
          <cell r="B139" t="str">
            <v>Destinee Muwwakkil</v>
          </cell>
          <cell r="C139">
            <v>3158</v>
          </cell>
          <cell r="D139">
            <v>0.80940000000000001</v>
          </cell>
          <cell r="E139">
            <v>0.62409999999999999</v>
          </cell>
          <cell r="F139">
            <v>0.7792</v>
          </cell>
          <cell r="G139">
            <v>0.98680000000000001</v>
          </cell>
          <cell r="H139">
            <v>0.76249999999999996</v>
          </cell>
        </row>
        <row r="140">
          <cell r="B140" t="str">
            <v>Lavaughn Patterson</v>
          </cell>
          <cell r="C140">
            <v>3149</v>
          </cell>
          <cell r="D140">
            <v>0.94569999999999999</v>
          </cell>
          <cell r="E140">
            <v>0.64459999999999995</v>
          </cell>
          <cell r="F140">
            <v>0.90820000000000001</v>
          </cell>
          <cell r="G140">
            <v>0.99150000000000005</v>
          </cell>
          <cell r="H140">
            <v>0.84870000000000001</v>
          </cell>
        </row>
        <row r="141">
          <cell r="B141" t="str">
            <v>Precious Moss-Boyd</v>
          </cell>
          <cell r="C141">
            <v>3147</v>
          </cell>
          <cell r="D141">
            <v>0.92920000000000003</v>
          </cell>
          <cell r="E141">
            <v>0.6845</v>
          </cell>
          <cell r="F141">
            <v>0.85699999999999998</v>
          </cell>
          <cell r="G141">
            <v>0.99119999999999997</v>
          </cell>
          <cell r="H141">
            <v>0.84030000000000005</v>
          </cell>
        </row>
        <row r="142">
          <cell r="B142" t="str">
            <v>Shameka Heard</v>
          </cell>
          <cell r="C142">
            <v>3145</v>
          </cell>
          <cell r="D142">
            <v>0.78680000000000005</v>
          </cell>
          <cell r="E142">
            <v>0.63619999999999999</v>
          </cell>
          <cell r="F142">
            <v>0.89659999999999995</v>
          </cell>
          <cell r="G142">
            <v>0.99470000000000003</v>
          </cell>
          <cell r="H142">
            <v>0.79530000000000001</v>
          </cell>
        </row>
        <row r="143">
          <cell r="B143" t="str">
            <v>Mireya Luna</v>
          </cell>
          <cell r="C143">
            <v>3145</v>
          </cell>
          <cell r="D143">
            <v>0.80059999999999998</v>
          </cell>
          <cell r="E143">
            <v>0.70550000000000002</v>
          </cell>
          <cell r="F143">
            <v>0.83489999999999998</v>
          </cell>
          <cell r="G143">
            <v>0.99</v>
          </cell>
          <cell r="H143">
            <v>0.80130000000000001</v>
          </cell>
        </row>
        <row r="144">
          <cell r="B144" t="str">
            <v>Rachel Pannell</v>
          </cell>
          <cell r="C144">
            <v>3145</v>
          </cell>
          <cell r="D144">
            <v>0.89600000000000002</v>
          </cell>
          <cell r="E144">
            <v>0.71140000000000003</v>
          </cell>
          <cell r="F144">
            <v>0.90380000000000005</v>
          </cell>
          <cell r="G144">
            <v>0.98019999999999996</v>
          </cell>
          <cell r="H144">
            <v>0.85140000000000005</v>
          </cell>
        </row>
        <row r="145">
          <cell r="B145" t="str">
            <v>Victoria Myles</v>
          </cell>
          <cell r="C145">
            <v>3132</v>
          </cell>
          <cell r="D145">
            <v>0.92010000000000003</v>
          </cell>
          <cell r="E145">
            <v>0.68810000000000004</v>
          </cell>
          <cell r="F145">
            <v>0.87560000000000004</v>
          </cell>
          <cell r="G145">
            <v>0.99360000000000004</v>
          </cell>
          <cell r="H145">
            <v>0.84450000000000003</v>
          </cell>
        </row>
        <row r="146">
          <cell r="B146" t="str">
            <v>Tynisha Reynolds</v>
          </cell>
          <cell r="C146">
            <v>3130</v>
          </cell>
          <cell r="D146">
            <v>0.84209999999999996</v>
          </cell>
          <cell r="E146">
            <v>0.61990000000000001</v>
          </cell>
          <cell r="F146">
            <v>0.86680000000000001</v>
          </cell>
          <cell r="G146">
            <v>0.99339999999999995</v>
          </cell>
          <cell r="H146">
            <v>0.79800000000000004</v>
          </cell>
        </row>
        <row r="147">
          <cell r="B147" t="str">
            <v>Blake Benjamin</v>
          </cell>
          <cell r="C147">
            <v>3127</v>
          </cell>
          <cell r="D147">
            <v>0.88790000000000002</v>
          </cell>
          <cell r="E147">
            <v>0.72619999999999996</v>
          </cell>
          <cell r="F147">
            <v>0.85819999999999996</v>
          </cell>
          <cell r="G147">
            <v>0.99419999999999997</v>
          </cell>
          <cell r="H147">
            <v>0.84109999999999996</v>
          </cell>
        </row>
        <row r="148">
          <cell r="B148" t="str">
            <v>Irene Reub</v>
          </cell>
          <cell r="C148">
            <v>3118</v>
          </cell>
          <cell r="D148">
            <v>0.90229999999999999</v>
          </cell>
          <cell r="E148">
            <v>0.69599999999999995</v>
          </cell>
          <cell r="F148">
            <v>0.91010000000000002</v>
          </cell>
          <cell r="G148">
            <v>0.99129999999999996</v>
          </cell>
          <cell r="H148">
            <v>0.85170000000000001</v>
          </cell>
        </row>
        <row r="149">
          <cell r="B149" t="str">
            <v>Mary Sawchuk</v>
          </cell>
          <cell r="C149">
            <v>3117</v>
          </cell>
          <cell r="D149">
            <v>0.89859999999999995</v>
          </cell>
          <cell r="E149">
            <v>0.70569999999999999</v>
          </cell>
          <cell r="F149">
            <v>0.90100000000000002</v>
          </cell>
          <cell r="G149">
            <v>0.99739999999999995</v>
          </cell>
          <cell r="H149">
            <v>0.85140000000000005</v>
          </cell>
        </row>
        <row r="150">
          <cell r="B150" t="str">
            <v>Kim Stroppel</v>
          </cell>
          <cell r="C150">
            <v>3116</v>
          </cell>
          <cell r="D150">
            <v>0.89610000000000001</v>
          </cell>
          <cell r="E150">
            <v>0.62870000000000004</v>
          </cell>
          <cell r="F150">
            <v>0.90039999999999998</v>
          </cell>
          <cell r="G150">
            <v>0.99009999999999998</v>
          </cell>
          <cell r="H150">
            <v>0.8266</v>
          </cell>
        </row>
        <row r="151">
          <cell r="B151" t="str">
            <v>Alexandria Hodges</v>
          </cell>
          <cell r="C151">
            <v>3112</v>
          </cell>
          <cell r="D151">
            <v>0.86509999999999998</v>
          </cell>
          <cell r="E151">
            <v>0.68110000000000004</v>
          </cell>
          <cell r="F151">
            <v>0.9163</v>
          </cell>
          <cell r="G151">
            <v>0.99509999999999998</v>
          </cell>
          <cell r="H151">
            <v>0.83830000000000005</v>
          </cell>
        </row>
        <row r="152">
          <cell r="B152" t="str">
            <v>Lauryn Fuller</v>
          </cell>
          <cell r="C152">
            <v>3110</v>
          </cell>
          <cell r="D152">
            <v>0.79339999999999999</v>
          </cell>
          <cell r="E152">
            <v>0.69330000000000003</v>
          </cell>
          <cell r="F152">
            <v>0.92579999999999996</v>
          </cell>
          <cell r="G152">
            <v>0.99429999999999996</v>
          </cell>
          <cell r="H152">
            <v>0.82320000000000004</v>
          </cell>
        </row>
        <row r="153">
          <cell r="B153" t="str">
            <v>Crystal Roulhac</v>
          </cell>
          <cell r="C153">
            <v>3105</v>
          </cell>
          <cell r="D153">
            <v>0.77439999999999998</v>
          </cell>
          <cell r="E153">
            <v>0.72099999999999997</v>
          </cell>
          <cell r="F153">
            <v>0.93600000000000005</v>
          </cell>
          <cell r="G153">
            <v>0.99299999999999999</v>
          </cell>
          <cell r="H153">
            <v>0.82869999999999999</v>
          </cell>
        </row>
        <row r="154">
          <cell r="B154" t="str">
            <v>Tameisha Wilcox</v>
          </cell>
          <cell r="C154">
            <v>3103</v>
          </cell>
          <cell r="D154">
            <v>0.71740000000000004</v>
          </cell>
          <cell r="E154">
            <v>0.56779999999999997</v>
          </cell>
          <cell r="F154">
            <v>0.73050000000000004</v>
          </cell>
          <cell r="G154">
            <v>0.9929</v>
          </cell>
          <cell r="H154">
            <v>0.70399999999999996</v>
          </cell>
        </row>
        <row r="155">
          <cell r="B155" t="str">
            <v>Alexandria Perkins</v>
          </cell>
          <cell r="C155">
            <v>3098</v>
          </cell>
          <cell r="D155">
            <v>0.84950000000000003</v>
          </cell>
          <cell r="E155">
            <v>0.67889999999999995</v>
          </cell>
          <cell r="F155">
            <v>0.90629999999999999</v>
          </cell>
          <cell r="G155">
            <v>0.99609999999999999</v>
          </cell>
          <cell r="H155">
            <v>0.83</v>
          </cell>
        </row>
        <row r="156">
          <cell r="B156" t="str">
            <v>Marisa Sanchez</v>
          </cell>
          <cell r="C156">
            <v>3097</v>
          </cell>
          <cell r="D156">
            <v>0.86899999999999999</v>
          </cell>
          <cell r="E156">
            <v>0.67079999999999995</v>
          </cell>
          <cell r="F156">
            <v>0.89429999999999998</v>
          </cell>
          <cell r="G156">
            <v>0.99580000000000002</v>
          </cell>
          <cell r="H156">
            <v>0.82979999999999998</v>
          </cell>
        </row>
        <row r="157">
          <cell r="B157" t="str">
            <v>Ollie Hasting</v>
          </cell>
          <cell r="C157">
            <v>3097</v>
          </cell>
          <cell r="D157">
            <v>0.83240000000000003</v>
          </cell>
          <cell r="E157">
            <v>0.64049999999999996</v>
          </cell>
          <cell r="F157">
            <v>0.83460000000000001</v>
          </cell>
          <cell r="G157">
            <v>0.99629999999999996</v>
          </cell>
          <cell r="H157">
            <v>0.79190000000000005</v>
          </cell>
        </row>
        <row r="158">
          <cell r="B158" t="str">
            <v>Kristina Kelley</v>
          </cell>
          <cell r="C158">
            <v>3089</v>
          </cell>
          <cell r="D158">
            <v>0.86819999999999997</v>
          </cell>
          <cell r="E158">
            <v>0.68689999999999996</v>
          </cell>
          <cell r="F158">
            <v>0.91410000000000002</v>
          </cell>
          <cell r="G158">
            <v>0.99270000000000003</v>
          </cell>
          <cell r="H158">
            <v>0.84</v>
          </cell>
        </row>
        <row r="159">
          <cell r="B159" t="str">
            <v>Lisa Singleton</v>
          </cell>
          <cell r="C159">
            <v>3086</v>
          </cell>
          <cell r="D159">
            <v>0.80079999999999996</v>
          </cell>
          <cell r="E159">
            <v>0.6774</v>
          </cell>
          <cell r="F159">
            <v>0.78620000000000001</v>
          </cell>
          <cell r="G159">
            <v>0.9909</v>
          </cell>
          <cell r="H159">
            <v>0.77839999999999998</v>
          </cell>
        </row>
        <row r="160">
          <cell r="B160" t="str">
            <v>Porsha Jones</v>
          </cell>
          <cell r="C160">
            <v>3085</v>
          </cell>
          <cell r="D160">
            <v>0.89129999999999998</v>
          </cell>
          <cell r="E160">
            <v>0.75039999999999996</v>
          </cell>
          <cell r="F160">
            <v>0.8659</v>
          </cell>
          <cell r="G160">
            <v>0.99109999999999998</v>
          </cell>
          <cell r="H160">
            <v>0.85140000000000005</v>
          </cell>
        </row>
        <row r="161">
          <cell r="B161" t="str">
            <v>Norma Spivey</v>
          </cell>
          <cell r="C161">
            <v>3070</v>
          </cell>
          <cell r="D161">
            <v>0.85029999999999994</v>
          </cell>
          <cell r="E161">
            <v>0.79149999999999998</v>
          </cell>
          <cell r="F161">
            <v>0.90810000000000002</v>
          </cell>
          <cell r="G161">
            <v>0.9919</v>
          </cell>
          <cell r="H161">
            <v>0.86409999999999998</v>
          </cell>
        </row>
        <row r="162">
          <cell r="B162" t="str">
            <v>Misty Minshew</v>
          </cell>
          <cell r="C162">
            <v>3066</v>
          </cell>
          <cell r="D162">
            <v>0.8579</v>
          </cell>
          <cell r="E162">
            <v>0.69120000000000004</v>
          </cell>
          <cell r="F162">
            <v>0.90639999999999998</v>
          </cell>
          <cell r="G162">
            <v>0.9929</v>
          </cell>
          <cell r="H162">
            <v>0.83589999999999998</v>
          </cell>
        </row>
        <row r="163">
          <cell r="B163" t="str">
            <v>Colton Brown</v>
          </cell>
          <cell r="C163">
            <v>3061</v>
          </cell>
          <cell r="D163">
            <v>0.8216</v>
          </cell>
          <cell r="E163">
            <v>0.62739999999999996</v>
          </cell>
          <cell r="F163">
            <v>0.82840000000000003</v>
          </cell>
          <cell r="G163">
            <v>0.99370000000000003</v>
          </cell>
          <cell r="H163">
            <v>0.78259999999999996</v>
          </cell>
        </row>
        <row r="164">
          <cell r="B164" t="str">
            <v>Krystle Walker</v>
          </cell>
          <cell r="C164">
            <v>3058</v>
          </cell>
          <cell r="D164">
            <v>0.78890000000000005</v>
          </cell>
          <cell r="E164">
            <v>0.72499999999999998</v>
          </cell>
          <cell r="F164">
            <v>0.88729999999999998</v>
          </cell>
          <cell r="G164">
            <v>0.99529999999999996</v>
          </cell>
          <cell r="H164">
            <v>0.81989999999999996</v>
          </cell>
        </row>
        <row r="165">
          <cell r="B165" t="str">
            <v>Keiona Oliver</v>
          </cell>
          <cell r="C165">
            <v>3055</v>
          </cell>
          <cell r="D165">
            <v>0.78080000000000005</v>
          </cell>
          <cell r="E165">
            <v>0.61499999999999999</v>
          </cell>
          <cell r="F165">
            <v>0.88580000000000003</v>
          </cell>
          <cell r="G165">
            <v>0.98180000000000001</v>
          </cell>
          <cell r="H165">
            <v>0.78259999999999996</v>
          </cell>
        </row>
        <row r="166">
          <cell r="B166" t="str">
            <v>Lindsy Fowler</v>
          </cell>
          <cell r="C166">
            <v>3052</v>
          </cell>
          <cell r="D166">
            <v>0.8377</v>
          </cell>
          <cell r="E166">
            <v>0.72550000000000003</v>
          </cell>
          <cell r="F166">
            <v>0.9274</v>
          </cell>
          <cell r="G166">
            <v>0.99339999999999995</v>
          </cell>
          <cell r="H166">
            <v>0.84650000000000003</v>
          </cell>
        </row>
        <row r="167">
          <cell r="B167" t="str">
            <v>Farzana Lina</v>
          </cell>
          <cell r="C167">
            <v>3051</v>
          </cell>
          <cell r="D167">
            <v>0.89429999999999998</v>
          </cell>
          <cell r="E167">
            <v>0.63580000000000003</v>
          </cell>
          <cell r="F167">
            <v>0.84670000000000001</v>
          </cell>
          <cell r="G167">
            <v>0.99690000000000001</v>
          </cell>
          <cell r="H167">
            <v>0.81269999999999998</v>
          </cell>
        </row>
        <row r="168">
          <cell r="B168" t="str">
            <v>Tanisha Jones</v>
          </cell>
          <cell r="C168">
            <v>3049</v>
          </cell>
          <cell r="D168">
            <v>0.73809999999999998</v>
          </cell>
          <cell r="E168">
            <v>0.65749999999999997</v>
          </cell>
          <cell r="F168">
            <v>0.84319999999999995</v>
          </cell>
          <cell r="G168">
            <v>0.99409999999999998</v>
          </cell>
          <cell r="H168">
            <v>0.77110000000000001</v>
          </cell>
        </row>
        <row r="169">
          <cell r="B169" t="str">
            <v>Shaniqua Deason</v>
          </cell>
          <cell r="C169">
            <v>3037</v>
          </cell>
          <cell r="D169">
            <v>0.7036</v>
          </cell>
          <cell r="E169">
            <v>0.70679999999999998</v>
          </cell>
          <cell r="F169">
            <v>0.75119999999999998</v>
          </cell>
          <cell r="G169">
            <v>0.99170000000000003</v>
          </cell>
          <cell r="H169">
            <v>0.74770000000000003</v>
          </cell>
        </row>
        <row r="170">
          <cell r="B170" t="str">
            <v>Rossi Silverio</v>
          </cell>
          <cell r="C170">
            <v>3036</v>
          </cell>
          <cell r="D170">
            <v>0.68110000000000004</v>
          </cell>
          <cell r="E170">
            <v>0.65259999999999996</v>
          </cell>
          <cell r="F170">
            <v>0.88680000000000003</v>
          </cell>
          <cell r="G170">
            <v>0.97899999999999998</v>
          </cell>
          <cell r="H170">
            <v>0.7641</v>
          </cell>
        </row>
        <row r="171">
          <cell r="B171" t="str">
            <v>Roberto Perez Jr</v>
          </cell>
          <cell r="C171">
            <v>3026</v>
          </cell>
          <cell r="D171">
            <v>0.82250000000000001</v>
          </cell>
          <cell r="E171">
            <v>0.6986</v>
          </cell>
          <cell r="F171">
            <v>0.84389999999999998</v>
          </cell>
          <cell r="G171">
            <v>0.99680000000000002</v>
          </cell>
          <cell r="H171">
            <v>0.80920000000000003</v>
          </cell>
        </row>
        <row r="172">
          <cell r="B172" t="str">
            <v>Tiffany Cordova</v>
          </cell>
          <cell r="C172">
            <v>3023</v>
          </cell>
          <cell r="D172">
            <v>0.83530000000000004</v>
          </cell>
          <cell r="E172">
            <v>0.67300000000000004</v>
          </cell>
          <cell r="F172">
            <v>0.87409999999999999</v>
          </cell>
          <cell r="G172">
            <v>0.99350000000000005</v>
          </cell>
          <cell r="H172">
            <v>0.81410000000000005</v>
          </cell>
        </row>
        <row r="173">
          <cell r="B173" t="str">
            <v>Amanda Sanderson</v>
          </cell>
          <cell r="C173">
            <v>3022</v>
          </cell>
          <cell r="D173">
            <v>0.79349999999999998</v>
          </cell>
          <cell r="E173">
            <v>0.72960000000000003</v>
          </cell>
          <cell r="F173">
            <v>0.92820000000000003</v>
          </cell>
          <cell r="G173">
            <v>0.98140000000000005</v>
          </cell>
          <cell r="H173">
            <v>0.83350000000000002</v>
          </cell>
        </row>
        <row r="174">
          <cell r="B174" t="str">
            <v>Carey French</v>
          </cell>
          <cell r="C174">
            <v>3021</v>
          </cell>
          <cell r="D174">
            <v>0.68540000000000001</v>
          </cell>
          <cell r="E174">
            <v>0.65949999999999998</v>
          </cell>
          <cell r="F174">
            <v>0.68959999999999999</v>
          </cell>
          <cell r="G174">
            <v>0.99160000000000004</v>
          </cell>
          <cell r="H174">
            <v>0.70950000000000002</v>
          </cell>
        </row>
        <row r="175">
          <cell r="B175" t="str">
            <v>Kelsey Mims</v>
          </cell>
          <cell r="C175">
            <v>3014</v>
          </cell>
          <cell r="D175">
            <v>0.75549999999999995</v>
          </cell>
          <cell r="E175">
            <v>0.6492</v>
          </cell>
          <cell r="F175">
            <v>0.84850000000000003</v>
          </cell>
          <cell r="G175">
            <v>0.99519999999999997</v>
          </cell>
          <cell r="H175">
            <v>0.77549999999999997</v>
          </cell>
        </row>
        <row r="176">
          <cell r="B176" t="str">
            <v>Sadie Nelson</v>
          </cell>
          <cell r="C176">
            <v>3014</v>
          </cell>
          <cell r="D176">
            <v>0.91320000000000001</v>
          </cell>
          <cell r="E176">
            <v>0.64380000000000004</v>
          </cell>
          <cell r="F176">
            <v>0.81589999999999996</v>
          </cell>
          <cell r="G176">
            <v>0.99319999999999997</v>
          </cell>
          <cell r="H176">
            <v>0.81120000000000003</v>
          </cell>
        </row>
        <row r="177">
          <cell r="B177" t="str">
            <v>Jessica Marentes</v>
          </cell>
          <cell r="C177">
            <v>3013</v>
          </cell>
          <cell r="D177">
            <v>0.90539999999999998</v>
          </cell>
          <cell r="E177">
            <v>0.7177</v>
          </cell>
          <cell r="F177">
            <v>0.9042</v>
          </cell>
          <cell r="G177">
            <v>0.99509999999999998</v>
          </cell>
          <cell r="H177">
            <v>0.85770000000000002</v>
          </cell>
        </row>
        <row r="178">
          <cell r="B178" t="str">
            <v>Alysia Garcia</v>
          </cell>
          <cell r="C178">
            <v>3009</v>
          </cell>
          <cell r="D178">
            <v>0.9516</v>
          </cell>
          <cell r="E178">
            <v>0.7167</v>
          </cell>
          <cell r="F178">
            <v>0.91649999999999998</v>
          </cell>
          <cell r="G178">
            <v>0.99609999999999999</v>
          </cell>
          <cell r="H178">
            <v>0.87509999999999999</v>
          </cell>
        </row>
        <row r="179">
          <cell r="B179" t="str">
            <v>Michele Ozuna</v>
          </cell>
          <cell r="C179">
            <v>3007</v>
          </cell>
          <cell r="D179">
            <v>0.89839999999999998</v>
          </cell>
          <cell r="E179">
            <v>0.67820000000000003</v>
          </cell>
          <cell r="F179">
            <v>0.89570000000000005</v>
          </cell>
          <cell r="G179">
            <v>0.99099999999999999</v>
          </cell>
          <cell r="H179">
            <v>0.84079999999999999</v>
          </cell>
        </row>
        <row r="180">
          <cell r="B180" t="str">
            <v>Imani Fobish</v>
          </cell>
          <cell r="C180">
            <v>2996</v>
          </cell>
          <cell r="D180">
            <v>0.71560000000000001</v>
          </cell>
          <cell r="E180">
            <v>0.70420000000000005</v>
          </cell>
          <cell r="F180">
            <v>0.88939999999999997</v>
          </cell>
          <cell r="G180">
            <v>0.99139999999999995</v>
          </cell>
          <cell r="H180">
            <v>0.79190000000000005</v>
          </cell>
        </row>
        <row r="181">
          <cell r="B181" t="str">
            <v>Landra Muniz</v>
          </cell>
          <cell r="C181">
            <v>2994</v>
          </cell>
          <cell r="D181">
            <v>0.85699999999999998</v>
          </cell>
          <cell r="E181">
            <v>0.62680000000000002</v>
          </cell>
          <cell r="F181">
            <v>0.90159999999999996</v>
          </cell>
          <cell r="G181">
            <v>0.99560000000000004</v>
          </cell>
          <cell r="H181">
            <v>0.81520000000000004</v>
          </cell>
        </row>
        <row r="182">
          <cell r="B182" t="str">
            <v>Jodeci Graham</v>
          </cell>
          <cell r="C182">
            <v>2991</v>
          </cell>
          <cell r="D182">
            <v>0.89159999999999995</v>
          </cell>
          <cell r="E182">
            <v>0.69740000000000002</v>
          </cell>
          <cell r="F182">
            <v>0.92159999999999997</v>
          </cell>
          <cell r="G182">
            <v>0.99419999999999997</v>
          </cell>
          <cell r="H182">
            <v>0.85260000000000002</v>
          </cell>
        </row>
        <row r="183">
          <cell r="B183" t="str">
            <v>Jennifer Rocha</v>
          </cell>
          <cell r="C183">
            <v>2989</v>
          </cell>
          <cell r="D183">
            <v>0.8921</v>
          </cell>
          <cell r="E183">
            <v>0.67469999999999997</v>
          </cell>
          <cell r="F183">
            <v>0.87019999999999997</v>
          </cell>
          <cell r="G183">
            <v>0.99590000000000001</v>
          </cell>
          <cell r="H183">
            <v>0.83069999999999999</v>
          </cell>
        </row>
        <row r="184">
          <cell r="B184" t="str">
            <v>Iman Bester</v>
          </cell>
          <cell r="C184">
            <v>2989</v>
          </cell>
          <cell r="D184">
            <v>0.85360000000000003</v>
          </cell>
          <cell r="E184">
            <v>0.69269999999999998</v>
          </cell>
          <cell r="F184">
            <v>0.90410000000000001</v>
          </cell>
          <cell r="G184">
            <v>0.99639999999999995</v>
          </cell>
          <cell r="H184">
            <v>0.83479999999999999</v>
          </cell>
        </row>
        <row r="185">
          <cell r="B185" t="str">
            <v>Kendra Hall</v>
          </cell>
          <cell r="C185">
            <v>2987</v>
          </cell>
          <cell r="D185">
            <v>0.78500000000000003</v>
          </cell>
          <cell r="E185">
            <v>0.65749999999999997</v>
          </cell>
          <cell r="F185">
            <v>0.79339999999999999</v>
          </cell>
          <cell r="G185">
            <v>0.98350000000000004</v>
          </cell>
          <cell r="H185">
            <v>0.76910000000000001</v>
          </cell>
        </row>
        <row r="186">
          <cell r="B186" t="str">
            <v>Gwen Geter</v>
          </cell>
          <cell r="C186">
            <v>2985</v>
          </cell>
          <cell r="D186">
            <v>0.8589</v>
          </cell>
          <cell r="E186">
            <v>0.65800000000000003</v>
          </cell>
          <cell r="F186">
            <v>0.87250000000000005</v>
          </cell>
          <cell r="G186">
            <v>0.99490000000000001</v>
          </cell>
          <cell r="H186">
            <v>0.81630000000000003</v>
          </cell>
        </row>
        <row r="187">
          <cell r="B187" t="str">
            <v>Moselakgomo Fransica</v>
          </cell>
          <cell r="C187">
            <v>2983</v>
          </cell>
          <cell r="D187">
            <v>0.77410000000000001</v>
          </cell>
          <cell r="E187">
            <v>0.6794</v>
          </cell>
          <cell r="F187">
            <v>0.89690000000000003</v>
          </cell>
          <cell r="G187">
            <v>0.99380000000000002</v>
          </cell>
          <cell r="H187">
            <v>0.80449999999999999</v>
          </cell>
        </row>
        <row r="188">
          <cell r="B188" t="str">
            <v>Charleste Tucker</v>
          </cell>
          <cell r="C188">
            <v>2977</v>
          </cell>
          <cell r="D188">
            <v>0.79</v>
          </cell>
          <cell r="E188">
            <v>0.72330000000000005</v>
          </cell>
          <cell r="F188">
            <v>0.874</v>
          </cell>
          <cell r="G188">
            <v>0.99070000000000003</v>
          </cell>
          <cell r="H188">
            <v>0.81530000000000002</v>
          </cell>
        </row>
        <row r="189">
          <cell r="B189" t="str">
            <v>Alexis Cruz</v>
          </cell>
          <cell r="C189">
            <v>2976</v>
          </cell>
          <cell r="D189">
            <v>0.84630000000000005</v>
          </cell>
          <cell r="E189">
            <v>0.66169999999999995</v>
          </cell>
          <cell r="F189">
            <v>0.88729999999999998</v>
          </cell>
          <cell r="G189">
            <v>0.99509999999999998</v>
          </cell>
          <cell r="H189">
            <v>0.81810000000000005</v>
          </cell>
        </row>
        <row r="190">
          <cell r="B190" t="str">
            <v>Jalishia Lloyd</v>
          </cell>
          <cell r="C190">
            <v>2972</v>
          </cell>
          <cell r="D190">
            <v>0.88039999999999996</v>
          </cell>
          <cell r="E190">
            <v>0.64710000000000001</v>
          </cell>
          <cell r="F190">
            <v>0.89659999999999995</v>
          </cell>
          <cell r="G190">
            <v>0.9929</v>
          </cell>
          <cell r="H190">
            <v>0.82650000000000001</v>
          </cell>
        </row>
        <row r="191">
          <cell r="B191" t="str">
            <v>Samantha Troendle</v>
          </cell>
          <cell r="C191">
            <v>2970</v>
          </cell>
          <cell r="D191">
            <v>0.89339999999999997</v>
          </cell>
          <cell r="E191">
            <v>0.66900000000000004</v>
          </cell>
          <cell r="F191">
            <v>0.91379999999999995</v>
          </cell>
          <cell r="G191">
            <v>0.99399999999999999</v>
          </cell>
          <cell r="H191">
            <v>0.84230000000000005</v>
          </cell>
        </row>
        <row r="192">
          <cell r="B192" t="str">
            <v>Shemetria Daniels</v>
          </cell>
          <cell r="C192">
            <v>2960</v>
          </cell>
          <cell r="D192">
            <v>0.89610000000000001</v>
          </cell>
          <cell r="E192">
            <v>0.73839999999999995</v>
          </cell>
          <cell r="F192">
            <v>0.92220000000000002</v>
          </cell>
          <cell r="G192">
            <v>0.99429999999999996</v>
          </cell>
          <cell r="H192">
            <v>0.86639999999999995</v>
          </cell>
        </row>
        <row r="193">
          <cell r="B193" t="str">
            <v>Samantha Rodriguez</v>
          </cell>
          <cell r="C193">
            <v>2952</v>
          </cell>
          <cell r="D193">
            <v>0.78210000000000002</v>
          </cell>
          <cell r="E193">
            <v>0.61380000000000001</v>
          </cell>
          <cell r="F193">
            <v>0.74229999999999996</v>
          </cell>
          <cell r="G193">
            <v>0.99509999999999998</v>
          </cell>
          <cell r="H193">
            <v>0.74099999999999999</v>
          </cell>
        </row>
        <row r="194">
          <cell r="B194" t="str">
            <v>Beckey Morrow</v>
          </cell>
          <cell r="C194">
            <v>2945</v>
          </cell>
          <cell r="D194">
            <v>0.77400000000000002</v>
          </cell>
          <cell r="E194">
            <v>0.67220000000000002</v>
          </cell>
          <cell r="F194">
            <v>0.90720000000000001</v>
          </cell>
          <cell r="G194">
            <v>0.99260000000000004</v>
          </cell>
          <cell r="H194">
            <v>0.80530000000000002</v>
          </cell>
        </row>
        <row r="195">
          <cell r="B195" t="str">
            <v>Radiance Washington</v>
          </cell>
          <cell r="C195">
            <v>2930</v>
          </cell>
          <cell r="D195">
            <v>0.75229999999999997</v>
          </cell>
          <cell r="E195">
            <v>0.60899999999999999</v>
          </cell>
          <cell r="F195">
            <v>0.75249999999999995</v>
          </cell>
          <cell r="G195">
            <v>0.99590000000000001</v>
          </cell>
          <cell r="H195">
            <v>0.73370000000000002</v>
          </cell>
        </row>
        <row r="196">
          <cell r="B196" t="str">
            <v>Nicole Haynes</v>
          </cell>
          <cell r="C196">
            <v>2928</v>
          </cell>
          <cell r="D196">
            <v>0.87350000000000005</v>
          </cell>
          <cell r="E196">
            <v>0.68959999999999999</v>
          </cell>
          <cell r="F196">
            <v>0.86</v>
          </cell>
          <cell r="G196">
            <v>0.99370000000000003</v>
          </cell>
          <cell r="H196">
            <v>0.82630000000000003</v>
          </cell>
        </row>
        <row r="197">
          <cell r="B197" t="str">
            <v>Wendy Martin</v>
          </cell>
          <cell r="C197">
            <v>2928</v>
          </cell>
          <cell r="D197">
            <v>0.84909999999999997</v>
          </cell>
          <cell r="E197">
            <v>0.71260000000000001</v>
          </cell>
          <cell r="F197">
            <v>0.86860000000000004</v>
          </cell>
          <cell r="G197">
            <v>0.99280000000000002</v>
          </cell>
          <cell r="H197">
            <v>0.82840000000000003</v>
          </cell>
        </row>
        <row r="198">
          <cell r="B198" t="str">
            <v>AnnaMarie Mule</v>
          </cell>
          <cell r="C198">
            <v>2926</v>
          </cell>
          <cell r="D198">
            <v>0.95199999999999996</v>
          </cell>
          <cell r="E198">
            <v>0.57699999999999996</v>
          </cell>
          <cell r="F198">
            <v>0.87209999999999999</v>
          </cell>
          <cell r="G198">
            <v>0.99639999999999995</v>
          </cell>
          <cell r="H198">
            <v>0.82</v>
          </cell>
        </row>
        <row r="199">
          <cell r="B199" t="str">
            <v>ZyAire Belle</v>
          </cell>
          <cell r="C199">
            <v>2916</v>
          </cell>
          <cell r="D199">
            <v>0.92520000000000002</v>
          </cell>
          <cell r="E199">
            <v>0.65380000000000005</v>
          </cell>
          <cell r="F199">
            <v>0.85509999999999997</v>
          </cell>
          <cell r="G199">
            <v>0.99660000000000004</v>
          </cell>
          <cell r="H199">
            <v>0.82989999999999997</v>
          </cell>
        </row>
        <row r="200">
          <cell r="B200" t="str">
            <v>Kayla Mace</v>
          </cell>
          <cell r="C200">
            <v>2913</v>
          </cell>
          <cell r="D200">
            <v>0.87019999999999997</v>
          </cell>
          <cell r="E200">
            <v>0.64649999999999996</v>
          </cell>
          <cell r="F200">
            <v>0.8962</v>
          </cell>
          <cell r="G200">
            <v>0.99370000000000003</v>
          </cell>
          <cell r="H200">
            <v>0.82330000000000003</v>
          </cell>
        </row>
        <row r="201">
          <cell r="B201" t="str">
            <v>Ashley Cervantes</v>
          </cell>
          <cell r="C201">
            <v>2912</v>
          </cell>
          <cell r="D201">
            <v>0.95089999999999997</v>
          </cell>
          <cell r="E201">
            <v>0.67859999999999998</v>
          </cell>
          <cell r="F201">
            <v>0.91579999999999995</v>
          </cell>
          <cell r="G201">
            <v>0.99560000000000004</v>
          </cell>
          <cell r="H201">
            <v>0.86319999999999997</v>
          </cell>
        </row>
        <row r="202">
          <cell r="B202" t="str">
            <v>Tyshaun Davis</v>
          </cell>
          <cell r="C202">
            <v>2911</v>
          </cell>
          <cell r="D202">
            <v>0.88390000000000002</v>
          </cell>
          <cell r="E202">
            <v>0.70989999999999998</v>
          </cell>
          <cell r="F202">
            <v>0.91310000000000002</v>
          </cell>
          <cell r="G202">
            <v>0.99660000000000004</v>
          </cell>
          <cell r="H202">
            <v>0.8518</v>
          </cell>
        </row>
        <row r="203">
          <cell r="B203" t="str">
            <v>Keysanah Baldwin</v>
          </cell>
          <cell r="C203">
            <v>2910</v>
          </cell>
          <cell r="D203">
            <v>0.89429999999999998</v>
          </cell>
          <cell r="E203">
            <v>0.68989999999999996</v>
          </cell>
          <cell r="F203">
            <v>0.92730000000000001</v>
          </cell>
          <cell r="G203">
            <v>0.99390000000000001</v>
          </cell>
          <cell r="H203">
            <v>0.8528</v>
          </cell>
        </row>
        <row r="204">
          <cell r="B204" t="str">
            <v>Danni Peel-Owens</v>
          </cell>
          <cell r="C204">
            <v>2908</v>
          </cell>
          <cell r="D204">
            <v>0.86019999999999996</v>
          </cell>
          <cell r="E204">
            <v>0.75229999999999997</v>
          </cell>
          <cell r="F204">
            <v>0.89590000000000003</v>
          </cell>
          <cell r="G204">
            <v>0.99270000000000003</v>
          </cell>
          <cell r="H204">
            <v>0.8518</v>
          </cell>
        </row>
        <row r="205">
          <cell r="B205" t="str">
            <v>Hanna Harris</v>
          </cell>
          <cell r="C205">
            <v>2907</v>
          </cell>
          <cell r="D205">
            <v>0.90290000000000004</v>
          </cell>
          <cell r="E205">
            <v>0.69630000000000003</v>
          </cell>
          <cell r="F205">
            <v>0.91210000000000002</v>
          </cell>
          <cell r="G205">
            <v>0.99419999999999997</v>
          </cell>
          <cell r="H205">
            <v>0.8528</v>
          </cell>
        </row>
        <row r="206">
          <cell r="B206" t="str">
            <v>Kayla Payne</v>
          </cell>
          <cell r="C206">
            <v>2906</v>
          </cell>
          <cell r="D206">
            <v>0.87429999999999997</v>
          </cell>
          <cell r="E206">
            <v>0.7056</v>
          </cell>
          <cell r="F206">
            <v>0.88619999999999999</v>
          </cell>
          <cell r="G206">
            <v>0.99580000000000002</v>
          </cell>
          <cell r="H206">
            <v>0.83940000000000003</v>
          </cell>
        </row>
        <row r="207">
          <cell r="B207" t="str">
            <v>Jose Camacho</v>
          </cell>
          <cell r="C207">
            <v>2904</v>
          </cell>
          <cell r="D207">
            <v>0.76949999999999996</v>
          </cell>
          <cell r="E207">
            <v>0.60540000000000005</v>
          </cell>
          <cell r="F207">
            <v>0.81630000000000003</v>
          </cell>
          <cell r="G207">
            <v>0.99660000000000004</v>
          </cell>
          <cell r="H207">
            <v>0.75700000000000001</v>
          </cell>
        </row>
        <row r="208">
          <cell r="B208" t="str">
            <v>Keturah Mccree</v>
          </cell>
          <cell r="C208">
            <v>2902</v>
          </cell>
          <cell r="D208">
            <v>0.91469999999999996</v>
          </cell>
          <cell r="E208">
            <v>0.73780000000000001</v>
          </cell>
          <cell r="F208">
            <v>0.94269999999999998</v>
          </cell>
          <cell r="G208">
            <v>0.99399999999999999</v>
          </cell>
          <cell r="H208">
            <v>0.878</v>
          </cell>
        </row>
        <row r="209">
          <cell r="B209" t="str">
            <v>Shantinique Rolle</v>
          </cell>
          <cell r="C209">
            <v>2900</v>
          </cell>
          <cell r="D209">
            <v>0.73370000000000002</v>
          </cell>
          <cell r="E209">
            <v>0.64339999999999997</v>
          </cell>
          <cell r="F209">
            <v>0.90469999999999995</v>
          </cell>
          <cell r="G209">
            <v>0.99299999999999999</v>
          </cell>
          <cell r="H209">
            <v>0.78380000000000005</v>
          </cell>
        </row>
        <row r="210">
          <cell r="B210" t="str">
            <v>Shemika Moore</v>
          </cell>
          <cell r="C210">
            <v>2895</v>
          </cell>
          <cell r="D210">
            <v>0.84189999999999998</v>
          </cell>
          <cell r="E210">
            <v>0.70789999999999997</v>
          </cell>
          <cell r="F210">
            <v>0.94850000000000001</v>
          </cell>
          <cell r="G210">
            <v>0.98340000000000005</v>
          </cell>
          <cell r="H210">
            <v>0.8478</v>
          </cell>
        </row>
        <row r="211">
          <cell r="B211" t="str">
            <v>Destiny Tarver</v>
          </cell>
          <cell r="C211">
            <v>2892</v>
          </cell>
          <cell r="D211">
            <v>0.76729999999999998</v>
          </cell>
          <cell r="E211">
            <v>0.62329999999999997</v>
          </cell>
          <cell r="F211">
            <v>0.79279999999999995</v>
          </cell>
          <cell r="G211">
            <v>0.98680000000000001</v>
          </cell>
          <cell r="H211">
            <v>0.75370000000000004</v>
          </cell>
        </row>
        <row r="212">
          <cell r="B212" t="str">
            <v>Ragan Purter</v>
          </cell>
          <cell r="C212">
            <v>2892</v>
          </cell>
          <cell r="D212">
            <v>0.81259999999999999</v>
          </cell>
          <cell r="E212">
            <v>0.64500000000000002</v>
          </cell>
          <cell r="F212">
            <v>0.87549999999999994</v>
          </cell>
          <cell r="G212">
            <v>0.99399999999999999</v>
          </cell>
          <cell r="H212">
            <v>0.7994</v>
          </cell>
        </row>
        <row r="213">
          <cell r="B213" t="str">
            <v>Crystal Samuel</v>
          </cell>
          <cell r="C213">
            <v>2891</v>
          </cell>
          <cell r="D213">
            <v>0.77100000000000002</v>
          </cell>
          <cell r="E213">
            <v>0.63980000000000004</v>
          </cell>
          <cell r="F213">
            <v>0.86429999999999996</v>
          </cell>
          <cell r="G213">
            <v>0.98650000000000004</v>
          </cell>
          <cell r="H213">
            <v>0.78120000000000001</v>
          </cell>
        </row>
        <row r="214">
          <cell r="B214" t="str">
            <v>Ashley Henry</v>
          </cell>
          <cell r="C214">
            <v>2890</v>
          </cell>
          <cell r="D214">
            <v>0.9133</v>
          </cell>
          <cell r="E214">
            <v>0.68479999999999996</v>
          </cell>
          <cell r="F214">
            <v>0.9032</v>
          </cell>
          <cell r="G214">
            <v>0.99380000000000002</v>
          </cell>
          <cell r="H214">
            <v>0.8498</v>
          </cell>
        </row>
        <row r="215">
          <cell r="B215" t="str">
            <v>Paola Gonzalez</v>
          </cell>
          <cell r="C215">
            <v>2889</v>
          </cell>
          <cell r="D215">
            <v>0.7389</v>
          </cell>
          <cell r="E215">
            <v>0.64549999999999996</v>
          </cell>
          <cell r="F215">
            <v>0.84140000000000004</v>
          </cell>
          <cell r="G215">
            <v>0.98839999999999995</v>
          </cell>
          <cell r="H215">
            <v>0.76659999999999995</v>
          </cell>
        </row>
        <row r="216">
          <cell r="B216" t="str">
            <v>Alyssa Padilla</v>
          </cell>
          <cell r="C216">
            <v>2887</v>
          </cell>
          <cell r="D216">
            <v>0.84970000000000001</v>
          </cell>
          <cell r="E216">
            <v>0.68869999999999998</v>
          </cell>
          <cell r="F216">
            <v>0.91449999999999998</v>
          </cell>
          <cell r="G216">
            <v>0.99480000000000002</v>
          </cell>
          <cell r="H216">
            <v>0.83540000000000003</v>
          </cell>
        </row>
        <row r="217">
          <cell r="B217" t="str">
            <v>Kendra Clark</v>
          </cell>
          <cell r="C217">
            <v>2886</v>
          </cell>
          <cell r="D217">
            <v>0.76629999999999998</v>
          </cell>
          <cell r="E217">
            <v>0.6179</v>
          </cell>
          <cell r="F217">
            <v>0.86629999999999996</v>
          </cell>
          <cell r="G217">
            <v>0.99490000000000001</v>
          </cell>
          <cell r="H217">
            <v>0.77459999999999996</v>
          </cell>
        </row>
        <row r="218">
          <cell r="B218" t="str">
            <v>Leanna Sanchez Baldinelli</v>
          </cell>
          <cell r="C218">
            <v>2885</v>
          </cell>
          <cell r="D218">
            <v>0.89449999999999996</v>
          </cell>
          <cell r="E218">
            <v>0.67269999999999996</v>
          </cell>
          <cell r="F218">
            <v>0.92800000000000005</v>
          </cell>
          <cell r="G218">
            <v>0.99309999999999998</v>
          </cell>
          <cell r="H218">
            <v>0.84789999999999999</v>
          </cell>
        </row>
        <row r="219">
          <cell r="B219" t="str">
            <v>Makayla Johnson</v>
          </cell>
          <cell r="C219">
            <v>2885</v>
          </cell>
          <cell r="D219">
            <v>0.77310000000000001</v>
          </cell>
          <cell r="E219">
            <v>0.60970000000000002</v>
          </cell>
          <cell r="F219">
            <v>0.83689999999999998</v>
          </cell>
          <cell r="G219">
            <v>0.99260000000000004</v>
          </cell>
          <cell r="H219">
            <v>0.76519999999999999</v>
          </cell>
        </row>
        <row r="220">
          <cell r="B220" t="str">
            <v>Niecy Coleman</v>
          </cell>
          <cell r="C220">
            <v>2884</v>
          </cell>
          <cell r="D220">
            <v>0.82330000000000003</v>
          </cell>
          <cell r="E220">
            <v>0.69330000000000003</v>
          </cell>
          <cell r="F220">
            <v>0.84150000000000003</v>
          </cell>
          <cell r="G220">
            <v>0.996</v>
          </cell>
          <cell r="H220">
            <v>0.80700000000000005</v>
          </cell>
        </row>
        <row r="221">
          <cell r="B221" t="str">
            <v>Tamari Taylor</v>
          </cell>
          <cell r="C221">
            <v>2883</v>
          </cell>
          <cell r="D221">
            <v>0.75090000000000001</v>
          </cell>
          <cell r="E221">
            <v>0.60319999999999996</v>
          </cell>
          <cell r="F221">
            <v>0.76229999999999998</v>
          </cell>
          <cell r="G221">
            <v>0.99550000000000005</v>
          </cell>
          <cell r="H221">
            <v>0.73440000000000005</v>
          </cell>
        </row>
        <row r="222">
          <cell r="B222" t="str">
            <v>Deliesha Walker</v>
          </cell>
          <cell r="C222">
            <v>2878</v>
          </cell>
          <cell r="D222">
            <v>0.86539999999999995</v>
          </cell>
          <cell r="E222">
            <v>0.61719999999999997</v>
          </cell>
          <cell r="F222">
            <v>0.86739999999999995</v>
          </cell>
          <cell r="G222">
            <v>0.99339999999999995</v>
          </cell>
          <cell r="H222">
            <v>0.80430000000000001</v>
          </cell>
        </row>
        <row r="223">
          <cell r="B223" t="str">
            <v>Timothy Lucas</v>
          </cell>
          <cell r="C223">
            <v>2875</v>
          </cell>
          <cell r="D223">
            <v>0.78920000000000001</v>
          </cell>
          <cell r="E223">
            <v>0.67020000000000002</v>
          </cell>
          <cell r="F223">
            <v>0.89980000000000004</v>
          </cell>
          <cell r="G223">
            <v>0.98650000000000004</v>
          </cell>
          <cell r="H223">
            <v>0.80640000000000001</v>
          </cell>
        </row>
        <row r="224">
          <cell r="B224" t="str">
            <v>Haven Richard</v>
          </cell>
          <cell r="C224">
            <v>2873</v>
          </cell>
          <cell r="D224">
            <v>0.90790000000000004</v>
          </cell>
          <cell r="E224">
            <v>0.69410000000000005</v>
          </cell>
          <cell r="F224">
            <v>0.84319999999999995</v>
          </cell>
          <cell r="G224">
            <v>0.99299999999999999</v>
          </cell>
          <cell r="H224">
            <v>0.83289999999999997</v>
          </cell>
        </row>
        <row r="225">
          <cell r="B225" t="str">
            <v>Rebecca Musgrove</v>
          </cell>
          <cell r="C225">
            <v>2866</v>
          </cell>
          <cell r="D225">
            <v>0.82689999999999997</v>
          </cell>
          <cell r="E225">
            <v>0.72570000000000001</v>
          </cell>
          <cell r="F225">
            <v>0.93579999999999997</v>
          </cell>
          <cell r="G225">
            <v>0.99660000000000004</v>
          </cell>
          <cell r="H225">
            <v>0.84619999999999995</v>
          </cell>
        </row>
        <row r="226">
          <cell r="B226" t="str">
            <v>Anquanette Montgomery</v>
          </cell>
          <cell r="C226">
            <v>2866</v>
          </cell>
          <cell r="D226">
            <v>0.94199999999999995</v>
          </cell>
          <cell r="E226">
            <v>0.67159999999999997</v>
          </cell>
          <cell r="F226">
            <v>0.89419999999999999</v>
          </cell>
          <cell r="G226">
            <v>0.99250000000000005</v>
          </cell>
          <cell r="H226">
            <v>0.85160000000000002</v>
          </cell>
        </row>
        <row r="227">
          <cell r="B227" t="str">
            <v>Deyanira Tabura</v>
          </cell>
          <cell r="C227">
            <v>2864</v>
          </cell>
          <cell r="D227">
            <v>0.81779999999999997</v>
          </cell>
          <cell r="E227">
            <v>0.72360000000000002</v>
          </cell>
          <cell r="F227">
            <v>0.9194</v>
          </cell>
          <cell r="G227">
            <v>0.98980000000000001</v>
          </cell>
          <cell r="H227">
            <v>0.83720000000000006</v>
          </cell>
        </row>
        <row r="228">
          <cell r="B228" t="str">
            <v>Taylor Johnson</v>
          </cell>
          <cell r="C228">
            <v>2862</v>
          </cell>
          <cell r="D228">
            <v>0.90110000000000001</v>
          </cell>
          <cell r="E228">
            <v>0.68179999999999996</v>
          </cell>
          <cell r="F228">
            <v>0.94310000000000005</v>
          </cell>
          <cell r="G228">
            <v>0.99429999999999996</v>
          </cell>
          <cell r="H228">
            <v>0.85719999999999996</v>
          </cell>
        </row>
        <row r="229">
          <cell r="B229" t="str">
            <v>Kiare Jenkins</v>
          </cell>
          <cell r="C229">
            <v>2858</v>
          </cell>
          <cell r="D229">
            <v>0.85950000000000004</v>
          </cell>
          <cell r="E229">
            <v>0.66910000000000003</v>
          </cell>
          <cell r="F229">
            <v>0.80700000000000005</v>
          </cell>
          <cell r="G229">
            <v>0.99470000000000003</v>
          </cell>
          <cell r="H229">
            <v>0.80020000000000002</v>
          </cell>
        </row>
        <row r="230">
          <cell r="B230" t="str">
            <v>Victor Bonilla</v>
          </cell>
          <cell r="C230">
            <v>2854</v>
          </cell>
          <cell r="D230">
            <v>0.36499999999999999</v>
          </cell>
          <cell r="E230">
            <v>0.52559999999999996</v>
          </cell>
          <cell r="F230">
            <v>0.5978</v>
          </cell>
          <cell r="G230">
            <v>0.98380000000000001</v>
          </cell>
          <cell r="H230">
            <v>0.54490000000000005</v>
          </cell>
        </row>
        <row r="231">
          <cell r="B231" t="str">
            <v>Ty Morrow</v>
          </cell>
          <cell r="C231">
            <v>2854</v>
          </cell>
          <cell r="D231">
            <v>0.8982</v>
          </cell>
          <cell r="E231">
            <v>0.6694</v>
          </cell>
          <cell r="F231">
            <v>0.90869999999999995</v>
          </cell>
          <cell r="G231">
            <v>0.99409999999999998</v>
          </cell>
          <cell r="H231">
            <v>0.84230000000000005</v>
          </cell>
        </row>
        <row r="232">
          <cell r="B232" t="str">
            <v>Yazmin Soriano</v>
          </cell>
          <cell r="C232">
            <v>2849</v>
          </cell>
          <cell r="D232">
            <v>0.78979999999999995</v>
          </cell>
          <cell r="E232">
            <v>0.63290000000000002</v>
          </cell>
          <cell r="F232">
            <v>0.8306</v>
          </cell>
          <cell r="G232">
            <v>0.98939999999999995</v>
          </cell>
          <cell r="H232">
            <v>0.77500000000000002</v>
          </cell>
        </row>
        <row r="233">
          <cell r="B233" t="str">
            <v>Deborah Moreno</v>
          </cell>
          <cell r="C233">
            <v>2849</v>
          </cell>
          <cell r="D233">
            <v>0.9204</v>
          </cell>
          <cell r="E233">
            <v>0.7258</v>
          </cell>
          <cell r="F233">
            <v>0.9325</v>
          </cell>
          <cell r="G233">
            <v>0.99439999999999995</v>
          </cell>
          <cell r="H233">
            <v>0.87309999999999999</v>
          </cell>
        </row>
        <row r="234">
          <cell r="B234" t="str">
            <v>Richalyn Pullum</v>
          </cell>
          <cell r="C234">
            <v>2841</v>
          </cell>
          <cell r="D234">
            <v>0.80700000000000005</v>
          </cell>
          <cell r="E234">
            <v>0.67169999999999996</v>
          </cell>
          <cell r="F234">
            <v>0.87119999999999997</v>
          </cell>
          <cell r="G234">
            <v>0.99609999999999999</v>
          </cell>
          <cell r="H234">
            <v>0.80459999999999998</v>
          </cell>
        </row>
        <row r="235">
          <cell r="B235" t="str">
            <v>Taylor Sullivan</v>
          </cell>
          <cell r="C235">
            <v>2840</v>
          </cell>
          <cell r="D235">
            <v>0.88639999999999997</v>
          </cell>
          <cell r="E235">
            <v>0.63739999999999997</v>
          </cell>
          <cell r="F235">
            <v>0.85150000000000003</v>
          </cell>
          <cell r="G235">
            <v>0.99619999999999997</v>
          </cell>
          <cell r="H235">
            <v>0.81220000000000003</v>
          </cell>
        </row>
        <row r="236">
          <cell r="B236" t="str">
            <v>Daniel Montoya</v>
          </cell>
          <cell r="C236">
            <v>2838</v>
          </cell>
          <cell r="D236">
            <v>0.78749999999999998</v>
          </cell>
          <cell r="E236">
            <v>0.75080000000000002</v>
          </cell>
          <cell r="F236">
            <v>0.79579999999999995</v>
          </cell>
          <cell r="G236">
            <v>0.99399999999999999</v>
          </cell>
          <cell r="H236">
            <v>0.79959999999999998</v>
          </cell>
        </row>
        <row r="237">
          <cell r="B237" t="str">
            <v>Bianka Moronta</v>
          </cell>
          <cell r="C237">
            <v>2836</v>
          </cell>
          <cell r="D237">
            <v>0.94240000000000002</v>
          </cell>
          <cell r="E237">
            <v>0.745</v>
          </cell>
          <cell r="F237">
            <v>0.93810000000000004</v>
          </cell>
          <cell r="G237">
            <v>0.99399999999999999</v>
          </cell>
          <cell r="H237">
            <v>0.8871</v>
          </cell>
        </row>
        <row r="238">
          <cell r="B238" t="str">
            <v>Charlincia Montgomery</v>
          </cell>
          <cell r="C238">
            <v>2835</v>
          </cell>
          <cell r="D238">
            <v>0.92979999999999996</v>
          </cell>
          <cell r="E238">
            <v>0.76180000000000003</v>
          </cell>
          <cell r="F238">
            <v>0.89890000000000003</v>
          </cell>
          <cell r="G238">
            <v>0.98729999999999996</v>
          </cell>
          <cell r="H238">
            <v>0.87590000000000001</v>
          </cell>
        </row>
        <row r="239">
          <cell r="B239" t="str">
            <v>Ariel Alford</v>
          </cell>
          <cell r="C239">
            <v>2828</v>
          </cell>
          <cell r="D239">
            <v>0.78900000000000003</v>
          </cell>
          <cell r="E239">
            <v>0.65249999999999997</v>
          </cell>
          <cell r="F239">
            <v>0.8085</v>
          </cell>
          <cell r="G239">
            <v>0.99409999999999998</v>
          </cell>
          <cell r="H239">
            <v>0.77439999999999998</v>
          </cell>
        </row>
        <row r="240">
          <cell r="B240" t="str">
            <v>Angela Miles</v>
          </cell>
          <cell r="C240">
            <v>2828</v>
          </cell>
          <cell r="D240">
            <v>0.8992</v>
          </cell>
          <cell r="E240">
            <v>0.71409999999999996</v>
          </cell>
          <cell r="F240">
            <v>0.91779999999999995</v>
          </cell>
          <cell r="G240">
            <v>0.99080000000000001</v>
          </cell>
          <cell r="H240">
            <v>0.85840000000000005</v>
          </cell>
        </row>
        <row r="241">
          <cell r="B241" t="str">
            <v>Stephone Briscoe</v>
          </cell>
          <cell r="C241">
            <v>2824</v>
          </cell>
          <cell r="D241">
            <v>0.86850000000000005</v>
          </cell>
          <cell r="E241">
            <v>0.72430000000000005</v>
          </cell>
          <cell r="F241">
            <v>0.82020000000000004</v>
          </cell>
          <cell r="G241">
            <v>0.996</v>
          </cell>
          <cell r="H241">
            <v>0.82350000000000001</v>
          </cell>
        </row>
        <row r="242">
          <cell r="B242" t="str">
            <v>Ashley Read</v>
          </cell>
          <cell r="C242">
            <v>2823</v>
          </cell>
          <cell r="D242">
            <v>0.83069999999999999</v>
          </cell>
          <cell r="E242">
            <v>0.71970000000000001</v>
          </cell>
          <cell r="F242">
            <v>0.90939999999999999</v>
          </cell>
          <cell r="G242">
            <v>0.98909999999999998</v>
          </cell>
          <cell r="H242">
            <v>0.83689999999999998</v>
          </cell>
        </row>
        <row r="243">
          <cell r="B243" t="str">
            <v>ShaDiamond Weatherly</v>
          </cell>
          <cell r="C243">
            <v>2819</v>
          </cell>
          <cell r="D243">
            <v>0.91549999999999998</v>
          </cell>
          <cell r="E243">
            <v>0.7117</v>
          </cell>
          <cell r="F243">
            <v>0.89980000000000004</v>
          </cell>
          <cell r="G243">
            <v>0.99350000000000005</v>
          </cell>
          <cell r="H243">
            <v>0.85750000000000004</v>
          </cell>
        </row>
        <row r="244">
          <cell r="B244" t="str">
            <v>Julius Carter</v>
          </cell>
          <cell r="C244">
            <v>2819</v>
          </cell>
          <cell r="D244">
            <v>0.74370000000000003</v>
          </cell>
          <cell r="E244">
            <v>0.65080000000000005</v>
          </cell>
          <cell r="F244">
            <v>0.76490000000000002</v>
          </cell>
          <cell r="G244">
            <v>0.99329999999999996</v>
          </cell>
          <cell r="H244">
            <v>0.74709999999999999</v>
          </cell>
        </row>
        <row r="245">
          <cell r="B245" t="str">
            <v>Momauwi Woods</v>
          </cell>
          <cell r="C245">
            <v>2816</v>
          </cell>
          <cell r="D245">
            <v>0.84550000000000003</v>
          </cell>
          <cell r="E245">
            <v>0.6673</v>
          </cell>
          <cell r="F245">
            <v>0.88319999999999999</v>
          </cell>
          <cell r="G245">
            <v>0.99390000000000001</v>
          </cell>
          <cell r="H245">
            <v>0.81820000000000004</v>
          </cell>
        </row>
        <row r="246">
          <cell r="B246" t="str">
            <v>Selenne Garcia</v>
          </cell>
          <cell r="C246">
            <v>2815</v>
          </cell>
          <cell r="D246">
            <v>0.90310000000000001</v>
          </cell>
          <cell r="E246">
            <v>0.66610000000000003</v>
          </cell>
          <cell r="F246">
            <v>0.92879999999999996</v>
          </cell>
          <cell r="G246">
            <v>0.99409999999999998</v>
          </cell>
          <cell r="H246">
            <v>0.8488</v>
          </cell>
        </row>
        <row r="247">
          <cell r="B247" t="str">
            <v>Esther Leach</v>
          </cell>
          <cell r="C247">
            <v>2811</v>
          </cell>
          <cell r="D247">
            <v>0.92549999999999999</v>
          </cell>
          <cell r="E247">
            <v>0.75660000000000005</v>
          </cell>
          <cell r="F247">
            <v>0.86929999999999996</v>
          </cell>
          <cell r="G247">
            <v>0.99209999999999998</v>
          </cell>
          <cell r="H247">
            <v>0.86460000000000004</v>
          </cell>
        </row>
        <row r="248">
          <cell r="B248" t="str">
            <v>Shaina Schnatter</v>
          </cell>
          <cell r="C248">
            <v>2808</v>
          </cell>
          <cell r="D248">
            <v>0.85060000000000002</v>
          </cell>
          <cell r="E248">
            <v>0.71609999999999996</v>
          </cell>
          <cell r="F248">
            <v>0.84289999999999998</v>
          </cell>
          <cell r="G248">
            <v>0.99370000000000003</v>
          </cell>
          <cell r="H248">
            <v>0.82230000000000003</v>
          </cell>
        </row>
        <row r="249">
          <cell r="B249" t="str">
            <v>Matthew Kitchens</v>
          </cell>
          <cell r="C249">
            <v>2807</v>
          </cell>
          <cell r="D249">
            <v>0.83640000000000003</v>
          </cell>
          <cell r="E249">
            <v>0.6915</v>
          </cell>
          <cell r="F249">
            <v>0.87390000000000001</v>
          </cell>
          <cell r="G249">
            <v>0.98760000000000003</v>
          </cell>
          <cell r="H249">
            <v>0.81930000000000003</v>
          </cell>
        </row>
        <row r="250">
          <cell r="B250" t="str">
            <v>Cherell Gardere</v>
          </cell>
          <cell r="C250">
            <v>2806</v>
          </cell>
          <cell r="D250">
            <v>0.80669999999999997</v>
          </cell>
          <cell r="E250">
            <v>0.60860000000000003</v>
          </cell>
          <cell r="F250">
            <v>0.86760000000000004</v>
          </cell>
          <cell r="G250">
            <v>0.98719999999999997</v>
          </cell>
          <cell r="H250">
            <v>0.78359999999999996</v>
          </cell>
        </row>
        <row r="251">
          <cell r="B251" t="str">
            <v>Amanda Dotzler-Jennings</v>
          </cell>
          <cell r="C251">
            <v>2806</v>
          </cell>
          <cell r="D251">
            <v>0.79830000000000001</v>
          </cell>
          <cell r="E251">
            <v>0.6593</v>
          </cell>
          <cell r="F251">
            <v>0.84599999999999997</v>
          </cell>
          <cell r="G251">
            <v>0.98260000000000003</v>
          </cell>
          <cell r="H251">
            <v>0.78939999999999999</v>
          </cell>
        </row>
        <row r="252">
          <cell r="B252" t="str">
            <v>Nellie Anderson</v>
          </cell>
          <cell r="C252">
            <v>2804</v>
          </cell>
          <cell r="D252">
            <v>0.91279999999999994</v>
          </cell>
          <cell r="E252">
            <v>0.68730000000000002</v>
          </cell>
          <cell r="F252">
            <v>0.89770000000000005</v>
          </cell>
          <cell r="G252">
            <v>0.99339999999999995</v>
          </cell>
          <cell r="H252">
            <v>0.84870000000000001</v>
          </cell>
        </row>
        <row r="253">
          <cell r="B253" t="str">
            <v>Ty Rieder</v>
          </cell>
          <cell r="C253">
            <v>2799</v>
          </cell>
          <cell r="D253">
            <v>0.8851</v>
          </cell>
          <cell r="E253">
            <v>0.64680000000000004</v>
          </cell>
          <cell r="F253">
            <v>0.89570000000000005</v>
          </cell>
          <cell r="G253">
            <v>0.99350000000000005</v>
          </cell>
          <cell r="H253">
            <v>0.8276</v>
          </cell>
        </row>
        <row r="254">
          <cell r="B254" t="str">
            <v>IvyAnna Mohammed</v>
          </cell>
          <cell r="C254">
            <v>2798</v>
          </cell>
          <cell r="D254">
            <v>0.83479999999999999</v>
          </cell>
          <cell r="E254">
            <v>0.6774</v>
          </cell>
          <cell r="F254">
            <v>0.88519999999999999</v>
          </cell>
          <cell r="G254">
            <v>0.99660000000000004</v>
          </cell>
          <cell r="H254">
            <v>0.81889999999999996</v>
          </cell>
        </row>
        <row r="255">
          <cell r="B255" t="str">
            <v>Deborah Coleman</v>
          </cell>
          <cell r="C255">
            <v>2797</v>
          </cell>
          <cell r="D255">
            <v>0.80969999999999998</v>
          </cell>
          <cell r="E255">
            <v>0.68530000000000002</v>
          </cell>
          <cell r="F255">
            <v>0.82579999999999998</v>
          </cell>
          <cell r="G255">
            <v>0.99539999999999995</v>
          </cell>
          <cell r="H255">
            <v>0.79579999999999995</v>
          </cell>
        </row>
        <row r="256">
          <cell r="B256" t="str">
            <v>Antavian Taylor</v>
          </cell>
          <cell r="C256">
            <v>2796</v>
          </cell>
          <cell r="D256">
            <v>0.94889999999999997</v>
          </cell>
          <cell r="E256">
            <v>0.69599999999999995</v>
          </cell>
          <cell r="F256">
            <v>0.91090000000000004</v>
          </cell>
          <cell r="G256">
            <v>0.99470000000000003</v>
          </cell>
          <cell r="H256">
            <v>0.86619999999999997</v>
          </cell>
        </row>
        <row r="257">
          <cell r="B257" t="str">
            <v>Kortney Jones</v>
          </cell>
          <cell r="C257">
            <v>2794</v>
          </cell>
          <cell r="D257">
            <v>0.76219999999999999</v>
          </cell>
          <cell r="E257">
            <v>0.64790000000000003</v>
          </cell>
          <cell r="F257">
            <v>0.90339999999999998</v>
          </cell>
          <cell r="G257">
            <v>0.99439999999999995</v>
          </cell>
          <cell r="H257">
            <v>0.79349999999999998</v>
          </cell>
        </row>
        <row r="258">
          <cell r="B258" t="str">
            <v>Colins Nwanne</v>
          </cell>
          <cell r="C258">
            <v>2793</v>
          </cell>
          <cell r="D258">
            <v>0.89470000000000005</v>
          </cell>
          <cell r="E258">
            <v>0.68240000000000001</v>
          </cell>
          <cell r="F258">
            <v>0.86470000000000002</v>
          </cell>
          <cell r="G258">
            <v>0.99409999999999998</v>
          </cell>
          <cell r="H258">
            <v>0.83189999999999997</v>
          </cell>
        </row>
        <row r="259">
          <cell r="B259" t="str">
            <v>Anthony Isaac</v>
          </cell>
          <cell r="C259">
            <v>2792</v>
          </cell>
          <cell r="D259">
            <v>0.85829999999999995</v>
          </cell>
          <cell r="E259">
            <v>0.62639999999999996</v>
          </cell>
          <cell r="F259">
            <v>0.84509999999999996</v>
          </cell>
          <cell r="G259">
            <v>0.99399999999999999</v>
          </cell>
          <cell r="H259">
            <v>0.79830000000000001</v>
          </cell>
        </row>
        <row r="260">
          <cell r="B260" t="str">
            <v>Crystal Brown</v>
          </cell>
          <cell r="C260">
            <v>2789</v>
          </cell>
          <cell r="D260">
            <v>0.81759999999999999</v>
          </cell>
          <cell r="E260">
            <v>0.72750000000000004</v>
          </cell>
          <cell r="F260">
            <v>0.89219999999999999</v>
          </cell>
          <cell r="G260">
            <v>0.99470000000000003</v>
          </cell>
          <cell r="H260">
            <v>0.83069999999999999</v>
          </cell>
        </row>
        <row r="261">
          <cell r="B261" t="str">
            <v>Jackie White</v>
          </cell>
          <cell r="C261">
            <v>2788</v>
          </cell>
          <cell r="D261">
            <v>0.83260000000000001</v>
          </cell>
          <cell r="E261">
            <v>0.60599999999999998</v>
          </cell>
          <cell r="F261">
            <v>0.78469999999999995</v>
          </cell>
          <cell r="G261">
            <v>0.98329999999999995</v>
          </cell>
          <cell r="H261">
            <v>0.76529999999999998</v>
          </cell>
        </row>
        <row r="262">
          <cell r="B262" t="str">
            <v>Deshanett Luckey</v>
          </cell>
          <cell r="C262">
            <v>2787</v>
          </cell>
          <cell r="D262">
            <v>0.88749999999999996</v>
          </cell>
          <cell r="E262">
            <v>0.66500000000000004</v>
          </cell>
          <cell r="F262">
            <v>0.85580000000000001</v>
          </cell>
          <cell r="G262">
            <v>0.99390000000000001</v>
          </cell>
          <cell r="H262">
            <v>0.82189999999999996</v>
          </cell>
        </row>
        <row r="263">
          <cell r="B263" t="str">
            <v>Audrey Markham</v>
          </cell>
          <cell r="C263">
            <v>2785</v>
          </cell>
          <cell r="D263">
            <v>0.92490000000000006</v>
          </cell>
          <cell r="E263">
            <v>0.76719999999999999</v>
          </cell>
          <cell r="F263">
            <v>0.91100000000000003</v>
          </cell>
          <cell r="G263">
            <v>0.99250000000000005</v>
          </cell>
          <cell r="H263">
            <v>0.88019999999999998</v>
          </cell>
        </row>
        <row r="264">
          <cell r="B264" t="str">
            <v>Janice Winston</v>
          </cell>
          <cell r="C264">
            <v>2781</v>
          </cell>
          <cell r="D264">
            <v>0.93630000000000002</v>
          </cell>
          <cell r="E264">
            <v>0.69989999999999997</v>
          </cell>
          <cell r="F264">
            <v>0.94010000000000005</v>
          </cell>
          <cell r="G264">
            <v>0.99629999999999996</v>
          </cell>
          <cell r="H264">
            <v>0.87250000000000005</v>
          </cell>
        </row>
        <row r="265">
          <cell r="B265" t="str">
            <v>Pricela Rodriguez</v>
          </cell>
          <cell r="C265">
            <v>2780</v>
          </cell>
          <cell r="D265">
            <v>0.83420000000000005</v>
          </cell>
          <cell r="E265">
            <v>0.71540000000000004</v>
          </cell>
          <cell r="F265">
            <v>0.91469999999999996</v>
          </cell>
          <cell r="G265">
            <v>0.99260000000000004</v>
          </cell>
          <cell r="H265">
            <v>0.83860000000000001</v>
          </cell>
        </row>
        <row r="266">
          <cell r="B266" t="str">
            <v>Jasmine Jackson</v>
          </cell>
          <cell r="C266">
            <v>2778</v>
          </cell>
          <cell r="D266">
            <v>0.89790000000000003</v>
          </cell>
          <cell r="E266">
            <v>0.70640000000000003</v>
          </cell>
          <cell r="F266">
            <v>0.86119999999999997</v>
          </cell>
          <cell r="G266">
            <v>0.99460000000000004</v>
          </cell>
          <cell r="H266">
            <v>0.83909999999999996</v>
          </cell>
        </row>
        <row r="267">
          <cell r="B267" t="str">
            <v>Sara Mills</v>
          </cell>
          <cell r="C267">
            <v>2777</v>
          </cell>
          <cell r="D267">
            <v>0.92110000000000003</v>
          </cell>
          <cell r="E267">
            <v>0.75990000000000002</v>
          </cell>
          <cell r="F267">
            <v>0.90629999999999999</v>
          </cell>
          <cell r="G267">
            <v>0.9929</v>
          </cell>
          <cell r="H267">
            <v>0.87549999999999994</v>
          </cell>
        </row>
        <row r="268">
          <cell r="B268" t="str">
            <v>La Torrie White</v>
          </cell>
          <cell r="C268">
            <v>2777</v>
          </cell>
          <cell r="D268">
            <v>0.88480000000000003</v>
          </cell>
          <cell r="E268">
            <v>0.66500000000000004</v>
          </cell>
          <cell r="F268">
            <v>0.87949999999999995</v>
          </cell>
          <cell r="G268">
            <v>0.98919999999999997</v>
          </cell>
          <cell r="H268">
            <v>0.82769999999999999</v>
          </cell>
        </row>
        <row r="269">
          <cell r="B269" t="str">
            <v>Diana Herrera</v>
          </cell>
          <cell r="C269">
            <v>2775</v>
          </cell>
          <cell r="D269">
            <v>0.90449999999999997</v>
          </cell>
          <cell r="E269">
            <v>0.66259999999999997</v>
          </cell>
          <cell r="F269">
            <v>0.89180000000000004</v>
          </cell>
          <cell r="G269">
            <v>0.99450000000000005</v>
          </cell>
          <cell r="H269">
            <v>0.83709999999999996</v>
          </cell>
        </row>
        <row r="270">
          <cell r="B270" t="str">
            <v>Brenda Witt</v>
          </cell>
          <cell r="C270">
            <v>2775</v>
          </cell>
          <cell r="D270">
            <v>0.86219999999999997</v>
          </cell>
          <cell r="E270">
            <v>0.70979999999999999</v>
          </cell>
          <cell r="F270">
            <v>0.90759999999999996</v>
          </cell>
          <cell r="G270">
            <v>0.99229999999999996</v>
          </cell>
          <cell r="H270">
            <v>0.84309999999999996</v>
          </cell>
        </row>
        <row r="271">
          <cell r="B271" t="str">
            <v>Robert Hrdy</v>
          </cell>
          <cell r="C271">
            <v>2774</v>
          </cell>
          <cell r="D271">
            <v>0.86439999999999995</v>
          </cell>
          <cell r="E271">
            <v>0.63370000000000004</v>
          </cell>
          <cell r="F271">
            <v>0.85170000000000001</v>
          </cell>
          <cell r="G271">
            <v>0.99390000000000001</v>
          </cell>
          <cell r="H271">
            <v>0.80430000000000001</v>
          </cell>
        </row>
        <row r="272">
          <cell r="B272" t="str">
            <v>Cassie Wilds</v>
          </cell>
          <cell r="C272">
            <v>2769</v>
          </cell>
          <cell r="D272">
            <v>0.8851</v>
          </cell>
          <cell r="E272">
            <v>0.6603</v>
          </cell>
          <cell r="F272">
            <v>0.92810000000000004</v>
          </cell>
          <cell r="G272">
            <v>0.99590000000000001</v>
          </cell>
          <cell r="H272">
            <v>0.8417</v>
          </cell>
        </row>
        <row r="273">
          <cell r="B273" t="str">
            <v>Lauren Morgan</v>
          </cell>
          <cell r="C273">
            <v>2768</v>
          </cell>
          <cell r="D273">
            <v>0.91210000000000002</v>
          </cell>
          <cell r="E273">
            <v>0.72529999999999994</v>
          </cell>
          <cell r="F273">
            <v>0.91800000000000004</v>
          </cell>
          <cell r="G273">
            <v>0.99760000000000004</v>
          </cell>
          <cell r="H273">
            <v>0.86639999999999995</v>
          </cell>
        </row>
        <row r="274">
          <cell r="B274" t="str">
            <v>Nikea Madison</v>
          </cell>
          <cell r="C274">
            <v>2765</v>
          </cell>
          <cell r="D274">
            <v>0.92549999999999999</v>
          </cell>
          <cell r="E274">
            <v>0.69510000000000005</v>
          </cell>
          <cell r="F274">
            <v>0.90539999999999998</v>
          </cell>
          <cell r="G274">
            <v>0.99380000000000002</v>
          </cell>
          <cell r="H274">
            <v>0.85719999999999996</v>
          </cell>
        </row>
        <row r="275">
          <cell r="B275" t="str">
            <v>Seihora Hayes</v>
          </cell>
          <cell r="C275">
            <v>2761</v>
          </cell>
          <cell r="D275">
            <v>0.84260000000000002</v>
          </cell>
          <cell r="E275">
            <v>0.70550000000000002</v>
          </cell>
          <cell r="F275">
            <v>0.84750000000000003</v>
          </cell>
          <cell r="G275">
            <v>0.99470000000000003</v>
          </cell>
          <cell r="H275">
            <v>0.81810000000000005</v>
          </cell>
        </row>
        <row r="276">
          <cell r="B276" t="str">
            <v>Florida Campbell</v>
          </cell>
          <cell r="C276">
            <v>2761</v>
          </cell>
          <cell r="D276">
            <v>0.88249999999999995</v>
          </cell>
          <cell r="E276">
            <v>0.68730000000000002</v>
          </cell>
          <cell r="F276">
            <v>0.90529999999999999</v>
          </cell>
          <cell r="G276">
            <v>0.99429999999999996</v>
          </cell>
          <cell r="H276">
            <v>0.84199999999999997</v>
          </cell>
        </row>
        <row r="277">
          <cell r="B277" t="str">
            <v>Unchalee Aramburu</v>
          </cell>
          <cell r="C277">
            <v>2760</v>
          </cell>
          <cell r="D277">
            <v>0.8105</v>
          </cell>
          <cell r="E277">
            <v>0.66990000000000005</v>
          </cell>
          <cell r="F277">
            <v>0.87939999999999996</v>
          </cell>
          <cell r="G277">
            <v>0.99270000000000003</v>
          </cell>
          <cell r="H277">
            <v>0.80720000000000003</v>
          </cell>
        </row>
        <row r="278">
          <cell r="B278" t="str">
            <v>Kawanna Williams</v>
          </cell>
          <cell r="C278">
            <v>2759</v>
          </cell>
          <cell r="D278">
            <v>0.90690000000000004</v>
          </cell>
          <cell r="E278">
            <v>0.73660000000000003</v>
          </cell>
          <cell r="F278">
            <v>0.88100000000000001</v>
          </cell>
          <cell r="G278">
            <v>0.98909999999999998</v>
          </cell>
          <cell r="H278">
            <v>0.85629999999999995</v>
          </cell>
        </row>
        <row r="279">
          <cell r="B279" t="str">
            <v>Annie Livoni</v>
          </cell>
          <cell r="C279">
            <v>2755</v>
          </cell>
          <cell r="D279">
            <v>0.81769999999999998</v>
          </cell>
          <cell r="E279">
            <v>0.7127</v>
          </cell>
          <cell r="F279">
            <v>0.91679999999999995</v>
          </cell>
          <cell r="G279">
            <v>0.98260000000000003</v>
          </cell>
          <cell r="H279">
            <v>0.83240000000000003</v>
          </cell>
        </row>
        <row r="280">
          <cell r="B280" t="str">
            <v>Jameica Owens</v>
          </cell>
          <cell r="C280">
            <v>2753</v>
          </cell>
          <cell r="D280">
            <v>0.90339999999999998</v>
          </cell>
          <cell r="E280">
            <v>0.69920000000000004</v>
          </cell>
          <cell r="F280">
            <v>0.85040000000000004</v>
          </cell>
          <cell r="G280">
            <v>0.99309999999999998</v>
          </cell>
          <cell r="H280">
            <v>0.83520000000000005</v>
          </cell>
        </row>
        <row r="281">
          <cell r="B281" t="str">
            <v>DeJanae Reed</v>
          </cell>
          <cell r="C281">
            <v>2752</v>
          </cell>
          <cell r="D281">
            <v>0.89680000000000004</v>
          </cell>
          <cell r="E281">
            <v>0.67810000000000004</v>
          </cell>
          <cell r="F281">
            <v>0.85499999999999998</v>
          </cell>
          <cell r="G281">
            <v>0.99690000000000001</v>
          </cell>
          <cell r="H281">
            <v>0.82869999999999999</v>
          </cell>
        </row>
        <row r="282">
          <cell r="B282" t="str">
            <v>Charles Robinson</v>
          </cell>
          <cell r="C282">
            <v>2751</v>
          </cell>
          <cell r="D282">
            <v>0.84430000000000005</v>
          </cell>
          <cell r="E282">
            <v>0.67449999999999999</v>
          </cell>
          <cell r="F282">
            <v>0.86460000000000004</v>
          </cell>
          <cell r="G282">
            <v>0.996</v>
          </cell>
          <cell r="H282">
            <v>0.81459999999999999</v>
          </cell>
        </row>
        <row r="283">
          <cell r="B283" t="str">
            <v>Burt Wilson</v>
          </cell>
          <cell r="C283">
            <v>2750</v>
          </cell>
          <cell r="D283">
            <v>0.88149999999999995</v>
          </cell>
          <cell r="E283">
            <v>0.6462</v>
          </cell>
          <cell r="F283">
            <v>0.81459999999999999</v>
          </cell>
          <cell r="G283">
            <v>0.99070000000000003</v>
          </cell>
          <cell r="H283">
            <v>0.80179999999999996</v>
          </cell>
        </row>
        <row r="284">
          <cell r="B284" t="str">
            <v>Kortlyn Casteel</v>
          </cell>
          <cell r="C284">
            <v>2741</v>
          </cell>
          <cell r="D284">
            <v>0.92349999999999999</v>
          </cell>
          <cell r="E284">
            <v>0.6905</v>
          </cell>
          <cell r="F284">
            <v>0.90510000000000002</v>
          </cell>
          <cell r="G284">
            <v>0.99690000000000001</v>
          </cell>
          <cell r="H284">
            <v>0.85550000000000004</v>
          </cell>
        </row>
        <row r="285">
          <cell r="B285" t="str">
            <v>Devon Stewart</v>
          </cell>
          <cell r="C285">
            <v>2738</v>
          </cell>
          <cell r="D285">
            <v>0.83120000000000005</v>
          </cell>
          <cell r="E285">
            <v>0.7359</v>
          </cell>
          <cell r="F285">
            <v>0.89139999999999997</v>
          </cell>
          <cell r="G285">
            <v>0.99470000000000003</v>
          </cell>
          <cell r="H285">
            <v>0.83699999999999997</v>
          </cell>
        </row>
        <row r="286">
          <cell r="B286" t="str">
            <v>Yesica Torres</v>
          </cell>
          <cell r="C286">
            <v>2734</v>
          </cell>
          <cell r="D286">
            <v>0.66320000000000001</v>
          </cell>
          <cell r="E286">
            <v>0.64559999999999995</v>
          </cell>
          <cell r="F286">
            <v>0.76490000000000002</v>
          </cell>
          <cell r="G286">
            <v>0.99460000000000004</v>
          </cell>
          <cell r="H286">
            <v>0.72160000000000002</v>
          </cell>
        </row>
        <row r="287">
          <cell r="B287" t="str">
            <v>KaShundra Mannery</v>
          </cell>
          <cell r="C287">
            <v>2734</v>
          </cell>
          <cell r="D287">
            <v>0.85109999999999997</v>
          </cell>
          <cell r="E287">
            <v>0.6613</v>
          </cell>
          <cell r="F287">
            <v>0.82130000000000003</v>
          </cell>
          <cell r="G287">
            <v>0.99529999999999996</v>
          </cell>
          <cell r="H287">
            <v>0.79969999999999997</v>
          </cell>
        </row>
        <row r="288">
          <cell r="B288" t="str">
            <v>Brittany Striggler</v>
          </cell>
          <cell r="C288">
            <v>2732</v>
          </cell>
          <cell r="D288">
            <v>0.80800000000000005</v>
          </cell>
          <cell r="E288">
            <v>0.67579999999999996</v>
          </cell>
          <cell r="F288">
            <v>0.92500000000000004</v>
          </cell>
          <cell r="G288">
            <v>0.9718</v>
          </cell>
          <cell r="H288">
            <v>0.81979999999999997</v>
          </cell>
        </row>
        <row r="289">
          <cell r="B289" t="str">
            <v>Greyssa Acosta</v>
          </cell>
          <cell r="C289">
            <v>2731</v>
          </cell>
          <cell r="D289">
            <v>0.90649999999999997</v>
          </cell>
          <cell r="E289">
            <v>0.73299999999999998</v>
          </cell>
          <cell r="F289">
            <v>0.90100000000000002</v>
          </cell>
          <cell r="G289">
            <v>0.9919</v>
          </cell>
          <cell r="H289">
            <v>0.86140000000000005</v>
          </cell>
        </row>
        <row r="290">
          <cell r="B290" t="str">
            <v>Lylith Tierce</v>
          </cell>
          <cell r="C290">
            <v>2731</v>
          </cell>
          <cell r="D290">
            <v>0.91879999999999995</v>
          </cell>
          <cell r="E290">
            <v>0.66700000000000004</v>
          </cell>
          <cell r="F290">
            <v>0.85909999999999997</v>
          </cell>
          <cell r="G290">
            <v>0.99339999999999995</v>
          </cell>
          <cell r="H290">
            <v>0.83279999999999998</v>
          </cell>
        </row>
        <row r="291">
          <cell r="B291" t="str">
            <v>Samantha Walker</v>
          </cell>
          <cell r="C291">
            <v>2729</v>
          </cell>
          <cell r="D291">
            <v>0.96540000000000004</v>
          </cell>
          <cell r="E291">
            <v>0.74750000000000005</v>
          </cell>
          <cell r="F291">
            <v>0.94359999999999999</v>
          </cell>
          <cell r="G291">
            <v>0.99529999999999996</v>
          </cell>
          <cell r="H291">
            <v>0.89649999999999996</v>
          </cell>
        </row>
        <row r="292">
          <cell r="B292" t="str">
            <v>Perry Robertson</v>
          </cell>
          <cell r="C292">
            <v>2728</v>
          </cell>
          <cell r="D292">
            <v>0.68289999999999995</v>
          </cell>
          <cell r="E292">
            <v>0.66259999999999997</v>
          </cell>
          <cell r="F292">
            <v>0.69359999999999999</v>
          </cell>
          <cell r="G292">
            <v>0.99460000000000004</v>
          </cell>
          <cell r="H292">
            <v>0.71120000000000005</v>
          </cell>
        </row>
        <row r="293">
          <cell r="B293" t="str">
            <v>Christen Love</v>
          </cell>
          <cell r="C293">
            <v>2723</v>
          </cell>
          <cell r="D293">
            <v>0.85609999999999997</v>
          </cell>
          <cell r="E293">
            <v>0.67330000000000001</v>
          </cell>
          <cell r="F293">
            <v>0.85499999999999998</v>
          </cell>
          <cell r="G293">
            <v>0.99509999999999998</v>
          </cell>
          <cell r="H293">
            <v>0.81479999999999997</v>
          </cell>
        </row>
        <row r="294">
          <cell r="B294" t="str">
            <v>Kristina Elizondo</v>
          </cell>
          <cell r="C294">
            <v>2723</v>
          </cell>
          <cell r="D294">
            <v>0.92390000000000005</v>
          </cell>
          <cell r="E294">
            <v>0.66659999999999997</v>
          </cell>
          <cell r="F294">
            <v>0.92259999999999998</v>
          </cell>
          <cell r="G294">
            <v>0.99360000000000004</v>
          </cell>
          <cell r="H294">
            <v>0.85329999999999995</v>
          </cell>
        </row>
        <row r="295">
          <cell r="B295" t="str">
            <v>Marisha Wallace</v>
          </cell>
          <cell r="C295">
            <v>2721</v>
          </cell>
          <cell r="D295">
            <v>0.91310000000000002</v>
          </cell>
          <cell r="E295">
            <v>0.68</v>
          </cell>
          <cell r="F295">
            <v>0.89459999999999995</v>
          </cell>
          <cell r="G295">
            <v>0.99150000000000005</v>
          </cell>
          <cell r="H295">
            <v>0.84550000000000003</v>
          </cell>
        </row>
        <row r="296">
          <cell r="B296" t="str">
            <v>Larry James</v>
          </cell>
          <cell r="C296">
            <v>2714</v>
          </cell>
          <cell r="D296">
            <v>0.79869999999999997</v>
          </cell>
          <cell r="E296">
            <v>0.71899999999999997</v>
          </cell>
          <cell r="F296">
            <v>0.83919999999999995</v>
          </cell>
          <cell r="G296">
            <v>0.99350000000000005</v>
          </cell>
          <cell r="H296">
            <v>0.80640000000000001</v>
          </cell>
        </row>
        <row r="297">
          <cell r="B297" t="str">
            <v>Rebecca Brouillette</v>
          </cell>
          <cell r="C297">
            <v>2714</v>
          </cell>
          <cell r="D297">
            <v>0.69220000000000004</v>
          </cell>
          <cell r="E297">
            <v>0.65869999999999995</v>
          </cell>
          <cell r="F297">
            <v>0.88800000000000001</v>
          </cell>
          <cell r="G297">
            <v>0.98799999999999999</v>
          </cell>
          <cell r="H297">
            <v>0.77049999999999996</v>
          </cell>
        </row>
        <row r="298">
          <cell r="B298" t="str">
            <v>Carolyn Towns</v>
          </cell>
          <cell r="C298">
            <v>2714</v>
          </cell>
          <cell r="D298">
            <v>0.79959999999999998</v>
          </cell>
          <cell r="E298">
            <v>0.73980000000000001</v>
          </cell>
          <cell r="F298">
            <v>0.93459999999999999</v>
          </cell>
          <cell r="G298">
            <v>0.99350000000000005</v>
          </cell>
          <cell r="H298">
            <v>0.84150000000000003</v>
          </cell>
        </row>
        <row r="299">
          <cell r="B299" t="str">
            <v>Takeez Meals</v>
          </cell>
          <cell r="C299">
            <v>2713</v>
          </cell>
          <cell r="D299">
            <v>0.91500000000000004</v>
          </cell>
          <cell r="E299">
            <v>0.72140000000000004</v>
          </cell>
          <cell r="F299">
            <v>0.91790000000000005</v>
          </cell>
          <cell r="G299">
            <v>0.99350000000000005</v>
          </cell>
          <cell r="H299">
            <v>0.86560000000000004</v>
          </cell>
        </row>
        <row r="300">
          <cell r="B300" t="str">
            <v>Tiffiane Mccool</v>
          </cell>
          <cell r="C300">
            <v>2709</v>
          </cell>
          <cell r="D300">
            <v>0.8095</v>
          </cell>
          <cell r="E300">
            <v>0.67210000000000003</v>
          </cell>
          <cell r="F300">
            <v>0.87450000000000006</v>
          </cell>
          <cell r="G300">
            <v>0.99490000000000001</v>
          </cell>
          <cell r="H300">
            <v>0.80640000000000001</v>
          </cell>
        </row>
        <row r="301">
          <cell r="B301" t="str">
            <v>Vanessa Garcia</v>
          </cell>
          <cell r="C301">
            <v>2706</v>
          </cell>
          <cell r="D301">
            <v>0.32250000000000001</v>
          </cell>
          <cell r="E301">
            <v>0.66379999999999995</v>
          </cell>
          <cell r="F301">
            <v>0.84330000000000005</v>
          </cell>
          <cell r="G301">
            <v>0.97819999999999996</v>
          </cell>
          <cell r="H301">
            <v>0.64670000000000005</v>
          </cell>
        </row>
        <row r="302">
          <cell r="B302" t="str">
            <v>Kayla Seals</v>
          </cell>
          <cell r="C302">
            <v>2704</v>
          </cell>
          <cell r="D302">
            <v>0.81479999999999997</v>
          </cell>
          <cell r="E302">
            <v>0.71240000000000003</v>
          </cell>
          <cell r="F302">
            <v>0.88529999999999998</v>
          </cell>
          <cell r="G302">
            <v>0.99280000000000002</v>
          </cell>
          <cell r="H302">
            <v>0.82299999999999995</v>
          </cell>
        </row>
        <row r="303">
          <cell r="B303" t="str">
            <v>Luis Vasquez</v>
          </cell>
          <cell r="C303">
            <v>2703</v>
          </cell>
          <cell r="D303">
            <v>0.94389999999999996</v>
          </cell>
          <cell r="E303">
            <v>0.7087</v>
          </cell>
          <cell r="F303">
            <v>0.93679999999999997</v>
          </cell>
          <cell r="G303">
            <v>0.99450000000000005</v>
          </cell>
          <cell r="H303">
            <v>0.87629999999999997</v>
          </cell>
        </row>
        <row r="304">
          <cell r="B304" t="str">
            <v>Kelli Johnson</v>
          </cell>
          <cell r="C304">
            <v>2701</v>
          </cell>
          <cell r="D304">
            <v>0.82289999999999996</v>
          </cell>
          <cell r="E304">
            <v>0.68279999999999996</v>
          </cell>
          <cell r="F304">
            <v>0.8891</v>
          </cell>
          <cell r="G304">
            <v>0.99199999999999999</v>
          </cell>
          <cell r="H304">
            <v>0.81759999999999999</v>
          </cell>
        </row>
        <row r="305">
          <cell r="B305" t="str">
            <v>Chantel Bonin</v>
          </cell>
          <cell r="C305">
            <v>2700</v>
          </cell>
          <cell r="D305">
            <v>0.83750000000000002</v>
          </cell>
          <cell r="E305">
            <v>0.72819999999999996</v>
          </cell>
          <cell r="F305">
            <v>0.9365</v>
          </cell>
          <cell r="G305">
            <v>0.99229999999999996</v>
          </cell>
          <cell r="H305">
            <v>0.84989999999999999</v>
          </cell>
        </row>
        <row r="306">
          <cell r="B306" t="str">
            <v>Veronica Wood</v>
          </cell>
          <cell r="C306">
            <v>2700</v>
          </cell>
          <cell r="D306">
            <v>0.87150000000000005</v>
          </cell>
          <cell r="E306">
            <v>0.71789999999999998</v>
          </cell>
          <cell r="F306">
            <v>0.89659999999999995</v>
          </cell>
          <cell r="G306">
            <v>0.99429999999999996</v>
          </cell>
          <cell r="H306">
            <v>0.84519999999999995</v>
          </cell>
        </row>
        <row r="307">
          <cell r="B307" t="str">
            <v>Becca Cookson</v>
          </cell>
          <cell r="C307">
            <v>2700</v>
          </cell>
          <cell r="D307">
            <v>0.9214</v>
          </cell>
          <cell r="E307">
            <v>0.62419999999999998</v>
          </cell>
          <cell r="F307">
            <v>0.93689999999999996</v>
          </cell>
          <cell r="G307">
            <v>0.98719999999999997</v>
          </cell>
          <cell r="H307">
            <v>0.84350000000000003</v>
          </cell>
        </row>
        <row r="308">
          <cell r="B308" t="str">
            <v>Shonda Wansley</v>
          </cell>
          <cell r="C308">
            <v>2699</v>
          </cell>
          <cell r="D308">
            <v>0.79769999999999996</v>
          </cell>
          <cell r="E308">
            <v>0.68389999999999995</v>
          </cell>
          <cell r="F308">
            <v>0.88329999999999997</v>
          </cell>
          <cell r="G308">
            <v>0.99299999999999999</v>
          </cell>
          <cell r="H308">
            <v>0.80879999999999996</v>
          </cell>
        </row>
        <row r="309">
          <cell r="B309" t="str">
            <v>Florencia Hein</v>
          </cell>
          <cell r="C309">
            <v>2693</v>
          </cell>
          <cell r="D309">
            <v>0.86240000000000006</v>
          </cell>
          <cell r="E309">
            <v>0.66859999999999997</v>
          </cell>
          <cell r="F309">
            <v>0.92769999999999997</v>
          </cell>
          <cell r="G309">
            <v>0.99680000000000002</v>
          </cell>
          <cell r="H309">
            <v>0.83730000000000004</v>
          </cell>
        </row>
        <row r="310">
          <cell r="B310" t="str">
            <v>Jennifer Smith</v>
          </cell>
          <cell r="C310">
            <v>2690</v>
          </cell>
          <cell r="D310">
            <v>0.83360000000000001</v>
          </cell>
          <cell r="E310">
            <v>0.67720000000000002</v>
          </cell>
          <cell r="F310">
            <v>0.9173</v>
          </cell>
          <cell r="G310">
            <v>0.97840000000000005</v>
          </cell>
          <cell r="H310">
            <v>0.82630000000000003</v>
          </cell>
        </row>
        <row r="311">
          <cell r="B311" t="str">
            <v>Jeffrey Wills</v>
          </cell>
          <cell r="C311">
            <v>2688</v>
          </cell>
          <cell r="D311">
            <v>0.77849999999999997</v>
          </cell>
          <cell r="E311">
            <v>0.7006</v>
          </cell>
          <cell r="F311">
            <v>0.90010000000000001</v>
          </cell>
          <cell r="G311">
            <v>0.99229999999999996</v>
          </cell>
          <cell r="H311">
            <v>0.81299999999999994</v>
          </cell>
        </row>
        <row r="312">
          <cell r="B312" t="str">
            <v>Edward Allen</v>
          </cell>
          <cell r="C312">
            <v>2687</v>
          </cell>
          <cell r="D312">
            <v>0.80500000000000005</v>
          </cell>
          <cell r="E312">
            <v>0.65280000000000005</v>
          </cell>
          <cell r="F312">
            <v>0.85919999999999996</v>
          </cell>
          <cell r="G312">
            <v>0.92730000000000001</v>
          </cell>
          <cell r="H312">
            <v>0.78779999999999994</v>
          </cell>
        </row>
        <row r="313">
          <cell r="B313" t="str">
            <v>Johnny Speed</v>
          </cell>
          <cell r="C313">
            <v>2682</v>
          </cell>
          <cell r="D313">
            <v>0.89470000000000005</v>
          </cell>
          <cell r="E313">
            <v>0.71679999999999999</v>
          </cell>
          <cell r="F313">
            <v>0.89480000000000004</v>
          </cell>
          <cell r="G313">
            <v>0.98050000000000004</v>
          </cell>
          <cell r="H313">
            <v>0.84989999999999999</v>
          </cell>
        </row>
        <row r="314">
          <cell r="B314" t="str">
            <v>Gladys Monje</v>
          </cell>
          <cell r="C314">
            <v>2681</v>
          </cell>
          <cell r="D314">
            <v>0.45529999999999998</v>
          </cell>
          <cell r="E314">
            <v>0.62090000000000001</v>
          </cell>
          <cell r="F314">
            <v>0.67900000000000005</v>
          </cell>
          <cell r="G314">
            <v>0.997</v>
          </cell>
          <cell r="H314">
            <v>0.62629999999999997</v>
          </cell>
        </row>
        <row r="315">
          <cell r="B315" t="str">
            <v>Lawquara Smith</v>
          </cell>
          <cell r="C315">
            <v>2680</v>
          </cell>
          <cell r="D315">
            <v>0.81759999999999999</v>
          </cell>
          <cell r="E315">
            <v>0.67879999999999996</v>
          </cell>
          <cell r="F315">
            <v>0.85940000000000005</v>
          </cell>
          <cell r="G315">
            <v>0.98460000000000003</v>
          </cell>
          <cell r="H315">
            <v>0.80520000000000003</v>
          </cell>
        </row>
        <row r="316">
          <cell r="B316" t="str">
            <v>Shabriell Smith</v>
          </cell>
          <cell r="C316">
            <v>2678</v>
          </cell>
          <cell r="D316">
            <v>0.90669999999999995</v>
          </cell>
          <cell r="E316">
            <v>0.7157</v>
          </cell>
          <cell r="F316">
            <v>0.88980000000000004</v>
          </cell>
          <cell r="G316">
            <v>0.99180000000000001</v>
          </cell>
          <cell r="H316">
            <v>0.85289999999999999</v>
          </cell>
        </row>
        <row r="317">
          <cell r="B317" t="str">
            <v>Shanika Carter</v>
          </cell>
          <cell r="C317">
            <v>2675</v>
          </cell>
          <cell r="D317">
            <v>0.86699999999999999</v>
          </cell>
          <cell r="E317">
            <v>0.63639999999999997</v>
          </cell>
          <cell r="F317">
            <v>0.91549999999999998</v>
          </cell>
          <cell r="G317">
            <v>0.99560000000000004</v>
          </cell>
          <cell r="H317">
            <v>0.82520000000000004</v>
          </cell>
        </row>
        <row r="318">
          <cell r="B318" t="str">
            <v>Ana Maldonado</v>
          </cell>
          <cell r="C318">
            <v>2673</v>
          </cell>
          <cell r="D318">
            <v>0.92689999999999995</v>
          </cell>
          <cell r="E318">
            <v>0.72699999999999998</v>
          </cell>
          <cell r="F318">
            <v>0.91700000000000004</v>
          </cell>
          <cell r="G318">
            <v>0.99309999999999998</v>
          </cell>
          <cell r="H318">
            <v>0.87060000000000004</v>
          </cell>
        </row>
        <row r="319">
          <cell r="B319" t="str">
            <v>Ranshiek Graham</v>
          </cell>
          <cell r="C319">
            <v>2672</v>
          </cell>
          <cell r="D319">
            <v>0.96020000000000005</v>
          </cell>
          <cell r="E319">
            <v>0.70720000000000005</v>
          </cell>
          <cell r="F319">
            <v>0.92049999999999998</v>
          </cell>
          <cell r="G319">
            <v>0.98670000000000002</v>
          </cell>
          <cell r="H319">
            <v>0.87509999999999999</v>
          </cell>
        </row>
        <row r="320">
          <cell r="B320" t="str">
            <v>Mikayla Shaw</v>
          </cell>
          <cell r="C320">
            <v>2670</v>
          </cell>
          <cell r="D320">
            <v>0.79830000000000001</v>
          </cell>
          <cell r="E320">
            <v>0.67710000000000004</v>
          </cell>
          <cell r="F320">
            <v>0.88629999999999998</v>
          </cell>
          <cell r="G320">
            <v>0.98529999999999995</v>
          </cell>
          <cell r="H320">
            <v>0.80710000000000004</v>
          </cell>
        </row>
        <row r="321">
          <cell r="B321" t="str">
            <v>Taylor Hall</v>
          </cell>
          <cell r="C321">
            <v>2669</v>
          </cell>
          <cell r="D321">
            <v>0.85960000000000003</v>
          </cell>
          <cell r="E321">
            <v>0.67759999999999998</v>
          </cell>
          <cell r="F321">
            <v>0.90539999999999998</v>
          </cell>
          <cell r="G321">
            <v>0.99280000000000002</v>
          </cell>
          <cell r="H321">
            <v>0.83209999999999995</v>
          </cell>
        </row>
        <row r="322">
          <cell r="B322" t="str">
            <v>Elsie Rivera</v>
          </cell>
          <cell r="C322">
            <v>2669</v>
          </cell>
          <cell r="D322">
            <v>0.79569999999999996</v>
          </cell>
          <cell r="E322">
            <v>0.71199999999999997</v>
          </cell>
          <cell r="F322">
            <v>0.8911</v>
          </cell>
          <cell r="G322">
            <v>0.98470000000000002</v>
          </cell>
          <cell r="H322">
            <v>0.81810000000000005</v>
          </cell>
        </row>
        <row r="323">
          <cell r="B323" t="str">
            <v>Jocelyn Jackson</v>
          </cell>
          <cell r="C323">
            <v>2668</v>
          </cell>
          <cell r="D323">
            <v>0.84830000000000005</v>
          </cell>
          <cell r="E323">
            <v>0.69169999999999998</v>
          </cell>
          <cell r="F323">
            <v>0.90069999999999995</v>
          </cell>
          <cell r="G323">
            <v>0.99309999999999998</v>
          </cell>
          <cell r="H323">
            <v>0.83150000000000002</v>
          </cell>
        </row>
        <row r="324">
          <cell r="B324" t="str">
            <v>Chad Bell</v>
          </cell>
          <cell r="C324">
            <v>2667</v>
          </cell>
          <cell r="D324">
            <v>0.82589999999999997</v>
          </cell>
          <cell r="E324">
            <v>0.59870000000000001</v>
          </cell>
          <cell r="F324">
            <v>0.75429999999999997</v>
          </cell>
          <cell r="G324">
            <v>0.99399999999999999</v>
          </cell>
          <cell r="H324">
            <v>0.75309999999999999</v>
          </cell>
        </row>
        <row r="325">
          <cell r="B325" t="str">
            <v>Dwayne Staggers</v>
          </cell>
          <cell r="C325">
            <v>2660</v>
          </cell>
          <cell r="D325">
            <v>0.91790000000000005</v>
          </cell>
          <cell r="E325">
            <v>0.67149999999999999</v>
          </cell>
          <cell r="F325">
            <v>0.88549999999999995</v>
          </cell>
          <cell r="G325">
            <v>0.99329999999999996</v>
          </cell>
          <cell r="H325">
            <v>0.84179999999999999</v>
          </cell>
        </row>
        <row r="326">
          <cell r="B326" t="str">
            <v>Jose Aparicio</v>
          </cell>
          <cell r="C326">
            <v>2660</v>
          </cell>
          <cell r="D326">
            <v>0.92079999999999995</v>
          </cell>
          <cell r="E326">
            <v>0.69120000000000004</v>
          </cell>
          <cell r="F326">
            <v>0.91379999999999995</v>
          </cell>
          <cell r="G326">
            <v>0.98650000000000004</v>
          </cell>
          <cell r="H326">
            <v>0.85640000000000005</v>
          </cell>
        </row>
        <row r="327">
          <cell r="B327" t="str">
            <v>Asia Apperwhite</v>
          </cell>
          <cell r="C327">
            <v>2652</v>
          </cell>
          <cell r="D327">
            <v>0.9385</v>
          </cell>
          <cell r="E327">
            <v>0.68259999999999998</v>
          </cell>
          <cell r="F327">
            <v>0.81299999999999994</v>
          </cell>
          <cell r="G327">
            <v>0.99460000000000004</v>
          </cell>
          <cell r="H327">
            <v>0.82969999999999999</v>
          </cell>
        </row>
        <row r="328">
          <cell r="B328" t="str">
            <v>Karis Nixon</v>
          </cell>
          <cell r="C328">
            <v>2647</v>
          </cell>
          <cell r="D328">
            <v>0.90610000000000002</v>
          </cell>
          <cell r="E328">
            <v>0.7107</v>
          </cell>
          <cell r="F328">
            <v>0.91710000000000003</v>
          </cell>
          <cell r="G328">
            <v>0.99609999999999999</v>
          </cell>
          <cell r="H328">
            <v>0.85980000000000001</v>
          </cell>
        </row>
        <row r="329">
          <cell r="B329" t="str">
            <v>Wanda Griffin</v>
          </cell>
          <cell r="C329">
            <v>2644</v>
          </cell>
          <cell r="D329">
            <v>0.95650000000000002</v>
          </cell>
          <cell r="E329">
            <v>0.69789999999999996</v>
          </cell>
          <cell r="F329">
            <v>0.89290000000000003</v>
          </cell>
          <cell r="G329">
            <v>0.99399999999999999</v>
          </cell>
          <cell r="H329">
            <v>0.86360000000000003</v>
          </cell>
        </row>
        <row r="330">
          <cell r="B330" t="str">
            <v>Abiola Akinyele</v>
          </cell>
          <cell r="C330">
            <v>2641</v>
          </cell>
          <cell r="D330">
            <v>0.91610000000000003</v>
          </cell>
          <cell r="E330">
            <v>0.65449999999999997</v>
          </cell>
          <cell r="F330">
            <v>0.87719999999999998</v>
          </cell>
          <cell r="G330">
            <v>0.99670000000000003</v>
          </cell>
          <cell r="H330">
            <v>0.83399999999999996</v>
          </cell>
        </row>
        <row r="331">
          <cell r="B331" t="str">
            <v>Akilah Mckay</v>
          </cell>
          <cell r="C331">
            <v>2638</v>
          </cell>
          <cell r="D331">
            <v>0.92090000000000005</v>
          </cell>
          <cell r="E331">
            <v>0.70240000000000002</v>
          </cell>
          <cell r="F331">
            <v>0.90500000000000003</v>
          </cell>
          <cell r="G331">
            <v>0.99360000000000004</v>
          </cell>
          <cell r="H331">
            <v>0.8579</v>
          </cell>
        </row>
        <row r="332">
          <cell r="B332" t="str">
            <v>Brianna Newsome</v>
          </cell>
          <cell r="C332">
            <v>2634</v>
          </cell>
          <cell r="D332">
            <v>0.97230000000000005</v>
          </cell>
          <cell r="E332">
            <v>0.7702</v>
          </cell>
          <cell r="F332">
            <v>0.92059999999999997</v>
          </cell>
          <cell r="G332">
            <v>0.99719999999999998</v>
          </cell>
          <cell r="H332">
            <v>0.89870000000000005</v>
          </cell>
        </row>
        <row r="333">
          <cell r="B333" t="str">
            <v>Jenny Garza</v>
          </cell>
          <cell r="C333">
            <v>2633</v>
          </cell>
          <cell r="D333">
            <v>0.92649999999999999</v>
          </cell>
          <cell r="E333">
            <v>0.72870000000000001</v>
          </cell>
          <cell r="F333">
            <v>0.9103</v>
          </cell>
          <cell r="G333">
            <v>0.98870000000000002</v>
          </cell>
          <cell r="H333">
            <v>0.86850000000000005</v>
          </cell>
        </row>
        <row r="334">
          <cell r="B334" t="str">
            <v>Keumbria Washington</v>
          </cell>
          <cell r="C334">
            <v>2629</v>
          </cell>
          <cell r="D334">
            <v>0.88790000000000002</v>
          </cell>
          <cell r="E334">
            <v>0.83599999999999997</v>
          </cell>
          <cell r="F334">
            <v>0.93659999999999999</v>
          </cell>
          <cell r="G334">
            <v>0.99529999999999996</v>
          </cell>
          <cell r="H334">
            <v>0.89770000000000005</v>
          </cell>
        </row>
        <row r="335">
          <cell r="B335" t="str">
            <v>Lidia Salazar</v>
          </cell>
          <cell r="C335">
            <v>2627</v>
          </cell>
          <cell r="D335">
            <v>0.77429999999999999</v>
          </cell>
          <cell r="E335">
            <v>0.72670000000000001</v>
          </cell>
          <cell r="F335">
            <v>0.88270000000000004</v>
          </cell>
          <cell r="G335">
            <v>0.99070000000000003</v>
          </cell>
          <cell r="H335">
            <v>0.81420000000000003</v>
          </cell>
        </row>
        <row r="336">
          <cell r="B336" t="str">
            <v>Calera Preuninger</v>
          </cell>
          <cell r="C336">
            <v>2626</v>
          </cell>
          <cell r="D336">
            <v>0.90529999999999999</v>
          </cell>
          <cell r="E336">
            <v>0.67169999999999996</v>
          </cell>
          <cell r="F336">
            <v>0.90539999999999998</v>
          </cell>
          <cell r="G336">
            <v>0.99519999999999997</v>
          </cell>
          <cell r="H336">
            <v>0.84419999999999995</v>
          </cell>
        </row>
        <row r="337">
          <cell r="B337" t="str">
            <v>Ashton Gochenaur</v>
          </cell>
          <cell r="C337">
            <v>2623</v>
          </cell>
          <cell r="D337">
            <v>0.83899999999999997</v>
          </cell>
          <cell r="E337">
            <v>0.70530000000000004</v>
          </cell>
          <cell r="F337">
            <v>0.88439999999999996</v>
          </cell>
          <cell r="G337">
            <v>0.99590000000000001</v>
          </cell>
          <cell r="H337">
            <v>0.82820000000000005</v>
          </cell>
        </row>
        <row r="338">
          <cell r="B338" t="str">
            <v>Angel Bishop</v>
          </cell>
          <cell r="C338">
            <v>2623</v>
          </cell>
          <cell r="D338">
            <v>0.9264</v>
          </cell>
          <cell r="E338">
            <v>0.67110000000000003</v>
          </cell>
          <cell r="F338">
            <v>0.90669999999999995</v>
          </cell>
          <cell r="G338">
            <v>0.99570000000000003</v>
          </cell>
          <cell r="H338">
            <v>0.8508</v>
          </cell>
        </row>
        <row r="339">
          <cell r="B339" t="str">
            <v>Jeannie Lynch</v>
          </cell>
          <cell r="C339">
            <v>2621</v>
          </cell>
          <cell r="D339">
            <v>0.91100000000000003</v>
          </cell>
          <cell r="E339">
            <v>0.68910000000000005</v>
          </cell>
          <cell r="F339">
            <v>0.91849999999999998</v>
          </cell>
          <cell r="G339">
            <v>0.99250000000000005</v>
          </cell>
          <cell r="H339">
            <v>0.8548</v>
          </cell>
        </row>
        <row r="340">
          <cell r="B340" t="str">
            <v>Christy Merritt</v>
          </cell>
          <cell r="C340">
            <v>2621</v>
          </cell>
          <cell r="D340">
            <v>0.93979999999999997</v>
          </cell>
          <cell r="E340">
            <v>0.6784</v>
          </cell>
          <cell r="F340">
            <v>0.94620000000000004</v>
          </cell>
          <cell r="G340">
            <v>0.99350000000000005</v>
          </cell>
          <cell r="H340">
            <v>0.86870000000000003</v>
          </cell>
        </row>
        <row r="341">
          <cell r="B341" t="str">
            <v>Latasha Lewis</v>
          </cell>
          <cell r="C341">
            <v>2621</v>
          </cell>
          <cell r="D341">
            <v>0.91649999999999998</v>
          </cell>
          <cell r="E341">
            <v>0.69179999999999997</v>
          </cell>
          <cell r="F341">
            <v>0.84930000000000005</v>
          </cell>
          <cell r="G341">
            <v>0.99329999999999996</v>
          </cell>
          <cell r="H341">
            <v>0.83660000000000001</v>
          </cell>
        </row>
        <row r="342">
          <cell r="B342" t="str">
            <v>Krissy Hamilton</v>
          </cell>
          <cell r="C342">
            <v>2617</v>
          </cell>
          <cell r="D342">
            <v>0.90649999999999997</v>
          </cell>
          <cell r="E342">
            <v>0.68120000000000003</v>
          </cell>
          <cell r="F342">
            <v>0.90969999999999995</v>
          </cell>
          <cell r="G342">
            <v>0.9929</v>
          </cell>
          <cell r="H342">
            <v>0.84850000000000003</v>
          </cell>
        </row>
        <row r="343">
          <cell r="B343" t="str">
            <v>Meyve Jimenez</v>
          </cell>
          <cell r="C343">
            <v>2612</v>
          </cell>
          <cell r="D343">
            <v>0.88839999999999997</v>
          </cell>
          <cell r="E343">
            <v>0.70440000000000003</v>
          </cell>
          <cell r="F343">
            <v>0.95730000000000004</v>
          </cell>
          <cell r="G343">
            <v>0.99490000000000001</v>
          </cell>
          <cell r="H343">
            <v>0.86450000000000005</v>
          </cell>
        </row>
        <row r="344">
          <cell r="B344" t="str">
            <v>Evelyn Orantes</v>
          </cell>
          <cell r="C344">
            <v>2610</v>
          </cell>
          <cell r="D344">
            <v>0.83830000000000005</v>
          </cell>
          <cell r="E344">
            <v>0.61809999999999998</v>
          </cell>
          <cell r="F344">
            <v>0.78469999999999995</v>
          </cell>
          <cell r="G344">
            <v>0.98819999999999997</v>
          </cell>
          <cell r="H344">
            <v>0.7712</v>
          </cell>
        </row>
        <row r="345">
          <cell r="B345" t="str">
            <v>Alexis St. John</v>
          </cell>
          <cell r="C345">
            <v>2609</v>
          </cell>
          <cell r="D345">
            <v>0.95389999999999997</v>
          </cell>
          <cell r="E345">
            <v>0.71879999999999999</v>
          </cell>
          <cell r="F345">
            <v>0.88739999999999997</v>
          </cell>
          <cell r="G345">
            <v>0.99350000000000005</v>
          </cell>
          <cell r="H345">
            <v>0.86739999999999995</v>
          </cell>
        </row>
        <row r="346">
          <cell r="B346" t="str">
            <v>Ayanna Knuckles</v>
          </cell>
          <cell r="C346">
            <v>2608</v>
          </cell>
          <cell r="D346">
            <v>0.8579</v>
          </cell>
          <cell r="E346">
            <v>0.66779999999999995</v>
          </cell>
          <cell r="F346">
            <v>0.93130000000000002</v>
          </cell>
          <cell r="G346">
            <v>0.99490000000000001</v>
          </cell>
          <cell r="H346">
            <v>0.83660000000000001</v>
          </cell>
        </row>
        <row r="347">
          <cell r="B347" t="str">
            <v>Brittney Tyson</v>
          </cell>
          <cell r="C347">
            <v>2607</v>
          </cell>
          <cell r="D347">
            <v>0.85770000000000002</v>
          </cell>
          <cell r="E347">
            <v>0.69330000000000003</v>
          </cell>
          <cell r="F347">
            <v>0.90490000000000004</v>
          </cell>
          <cell r="G347">
            <v>0.99270000000000003</v>
          </cell>
          <cell r="H347">
            <v>0.83599999999999997</v>
          </cell>
        </row>
        <row r="348">
          <cell r="B348" t="str">
            <v>Darius Holt</v>
          </cell>
          <cell r="C348">
            <v>2607</v>
          </cell>
          <cell r="D348">
            <v>0.93100000000000005</v>
          </cell>
          <cell r="E348">
            <v>0.69140000000000001</v>
          </cell>
          <cell r="F348">
            <v>0.8931</v>
          </cell>
          <cell r="G348">
            <v>0.99760000000000004</v>
          </cell>
          <cell r="H348">
            <v>0.85440000000000005</v>
          </cell>
        </row>
        <row r="349">
          <cell r="B349" t="str">
            <v>Meghan Watkins</v>
          </cell>
          <cell r="C349">
            <v>2605</v>
          </cell>
          <cell r="D349">
            <v>0.97060000000000002</v>
          </cell>
          <cell r="E349">
            <v>0.71050000000000002</v>
          </cell>
          <cell r="F349">
            <v>0.91679999999999995</v>
          </cell>
          <cell r="G349">
            <v>0.99439999999999995</v>
          </cell>
          <cell r="H349">
            <v>0.87880000000000003</v>
          </cell>
        </row>
        <row r="350">
          <cell r="B350" t="str">
            <v>Angeles Montalvo</v>
          </cell>
          <cell r="C350">
            <v>2603</v>
          </cell>
          <cell r="D350">
            <v>0.28849999999999998</v>
          </cell>
          <cell r="E350">
            <v>0.66080000000000005</v>
          </cell>
          <cell r="F350">
            <v>0.81789999999999996</v>
          </cell>
          <cell r="G350">
            <v>0.98509999999999998</v>
          </cell>
          <cell r="H350">
            <v>0.62870000000000004</v>
          </cell>
        </row>
        <row r="351">
          <cell r="B351" t="str">
            <v>Carroll Landrum</v>
          </cell>
          <cell r="C351">
            <v>2601</v>
          </cell>
          <cell r="D351">
            <v>0.87580000000000002</v>
          </cell>
          <cell r="E351">
            <v>0.67169999999999996</v>
          </cell>
          <cell r="F351">
            <v>0.90590000000000004</v>
          </cell>
          <cell r="G351">
            <v>0.99119999999999997</v>
          </cell>
          <cell r="H351">
            <v>0.83509999999999995</v>
          </cell>
        </row>
        <row r="352">
          <cell r="B352" t="str">
            <v>Kimberly Rhoden</v>
          </cell>
          <cell r="C352">
            <v>2598</v>
          </cell>
          <cell r="D352">
            <v>0.90549999999999997</v>
          </cell>
          <cell r="E352">
            <v>0.63090000000000002</v>
          </cell>
          <cell r="F352">
            <v>0.87609999999999999</v>
          </cell>
          <cell r="G352">
            <v>0.99460000000000004</v>
          </cell>
          <cell r="H352">
            <v>0.82320000000000004</v>
          </cell>
        </row>
        <row r="353">
          <cell r="B353" t="str">
            <v>Valerie Rittenhouse</v>
          </cell>
          <cell r="C353">
            <v>2596</v>
          </cell>
          <cell r="D353">
            <v>0.92049999999999998</v>
          </cell>
          <cell r="E353">
            <v>0.70220000000000005</v>
          </cell>
          <cell r="F353">
            <v>0.89929999999999999</v>
          </cell>
          <cell r="G353">
            <v>0.99490000000000001</v>
          </cell>
          <cell r="H353">
            <v>0.85609999999999997</v>
          </cell>
        </row>
        <row r="354">
          <cell r="B354" t="str">
            <v>Reven Brown</v>
          </cell>
          <cell r="C354">
            <v>2596</v>
          </cell>
          <cell r="D354">
            <v>0.94110000000000005</v>
          </cell>
          <cell r="E354">
            <v>0.72599999999999998</v>
          </cell>
          <cell r="F354">
            <v>0.92969999999999997</v>
          </cell>
          <cell r="G354">
            <v>0.99570000000000003</v>
          </cell>
          <cell r="H354">
            <v>0.87860000000000005</v>
          </cell>
        </row>
        <row r="355">
          <cell r="B355" t="str">
            <v>Cecelia Jackson</v>
          </cell>
          <cell r="C355">
            <v>2595</v>
          </cell>
          <cell r="D355">
            <v>0.85499999999999998</v>
          </cell>
          <cell r="E355">
            <v>0.68240000000000001</v>
          </cell>
          <cell r="F355">
            <v>0.85740000000000005</v>
          </cell>
          <cell r="G355">
            <v>0.98799999999999999</v>
          </cell>
          <cell r="H355">
            <v>0.81720000000000004</v>
          </cell>
        </row>
        <row r="356">
          <cell r="B356" t="str">
            <v>Janadia Butler</v>
          </cell>
          <cell r="C356">
            <v>2591</v>
          </cell>
          <cell r="D356">
            <v>0.87470000000000003</v>
          </cell>
          <cell r="E356">
            <v>0.7097</v>
          </cell>
          <cell r="F356">
            <v>0.91149999999999998</v>
          </cell>
          <cell r="G356">
            <v>0.99450000000000005</v>
          </cell>
          <cell r="H356">
            <v>0.84819999999999995</v>
          </cell>
        </row>
        <row r="357">
          <cell r="B357" t="str">
            <v>Alicia Cepeda</v>
          </cell>
          <cell r="C357">
            <v>2590</v>
          </cell>
          <cell r="D357">
            <v>0.89890000000000003</v>
          </cell>
          <cell r="E357">
            <v>0.68600000000000005</v>
          </cell>
          <cell r="F357">
            <v>0.85760000000000003</v>
          </cell>
          <cell r="G357">
            <v>0.99729999999999996</v>
          </cell>
          <cell r="H357">
            <v>0.83250000000000002</v>
          </cell>
        </row>
        <row r="358">
          <cell r="B358" t="str">
            <v>Gabriela Maldonado</v>
          </cell>
          <cell r="C358">
            <v>2587</v>
          </cell>
          <cell r="D358">
            <v>0.87590000000000001</v>
          </cell>
          <cell r="E358">
            <v>0.71860000000000002</v>
          </cell>
          <cell r="F358">
            <v>0.94469999999999998</v>
          </cell>
          <cell r="G358">
            <v>0.99270000000000003</v>
          </cell>
          <cell r="H358">
            <v>0.86099999999999999</v>
          </cell>
        </row>
        <row r="359">
          <cell r="B359" t="str">
            <v>Alexandra Falini Lee</v>
          </cell>
          <cell r="C359">
            <v>2587</v>
          </cell>
          <cell r="D359">
            <v>0.77180000000000004</v>
          </cell>
          <cell r="E359">
            <v>0.66059999999999997</v>
          </cell>
          <cell r="F359">
            <v>0.88490000000000002</v>
          </cell>
          <cell r="G359">
            <v>0.99309999999999998</v>
          </cell>
          <cell r="H359">
            <v>0.79449999999999998</v>
          </cell>
        </row>
        <row r="360">
          <cell r="B360" t="str">
            <v>Ellen Edwards</v>
          </cell>
          <cell r="C360">
            <v>2586</v>
          </cell>
          <cell r="D360">
            <v>0.89959999999999996</v>
          </cell>
          <cell r="E360">
            <v>0.72419999999999995</v>
          </cell>
          <cell r="F360">
            <v>0.9325</v>
          </cell>
          <cell r="G360">
            <v>0.99450000000000005</v>
          </cell>
          <cell r="H360">
            <v>0.86629999999999996</v>
          </cell>
        </row>
        <row r="361">
          <cell r="B361" t="str">
            <v>Lydia Puentes</v>
          </cell>
          <cell r="C361">
            <v>2586</v>
          </cell>
          <cell r="D361">
            <v>0.86670000000000003</v>
          </cell>
          <cell r="E361">
            <v>0.63</v>
          </cell>
          <cell r="F361">
            <v>0.80889999999999995</v>
          </cell>
          <cell r="G361">
            <v>0.99129999999999996</v>
          </cell>
          <cell r="H361">
            <v>0.79079999999999995</v>
          </cell>
        </row>
        <row r="362">
          <cell r="B362" t="str">
            <v>Monica Ratcliffe</v>
          </cell>
          <cell r="C362">
            <v>2586</v>
          </cell>
          <cell r="D362">
            <v>0.78010000000000002</v>
          </cell>
          <cell r="E362">
            <v>0.70430000000000004</v>
          </cell>
          <cell r="F362">
            <v>0.88690000000000002</v>
          </cell>
          <cell r="G362">
            <v>0.99180000000000001</v>
          </cell>
          <cell r="H362">
            <v>0.81059999999999999</v>
          </cell>
        </row>
        <row r="363">
          <cell r="B363" t="str">
            <v>Muhammed Quraishy</v>
          </cell>
          <cell r="C363">
            <v>2584</v>
          </cell>
          <cell r="D363">
            <v>0.94520000000000004</v>
          </cell>
          <cell r="E363">
            <v>0.6532</v>
          </cell>
          <cell r="F363">
            <v>0.90980000000000005</v>
          </cell>
          <cell r="G363">
            <v>0.99529999999999996</v>
          </cell>
          <cell r="H363">
            <v>0.85199999999999998</v>
          </cell>
        </row>
        <row r="364">
          <cell r="B364" t="str">
            <v>Breonica Stephens</v>
          </cell>
          <cell r="C364">
            <v>2582</v>
          </cell>
          <cell r="D364">
            <v>0.93469999999999998</v>
          </cell>
          <cell r="E364">
            <v>0.67179999999999995</v>
          </cell>
          <cell r="F364">
            <v>0.92</v>
          </cell>
          <cell r="G364">
            <v>0.99260000000000004</v>
          </cell>
          <cell r="H364">
            <v>0.85719999999999996</v>
          </cell>
        </row>
        <row r="365">
          <cell r="B365" t="str">
            <v>Nicholas Trucks</v>
          </cell>
          <cell r="C365">
            <v>2579</v>
          </cell>
          <cell r="D365">
            <v>0.82530000000000003</v>
          </cell>
          <cell r="E365">
            <v>0.66990000000000005</v>
          </cell>
          <cell r="F365">
            <v>0.85780000000000001</v>
          </cell>
          <cell r="G365">
            <v>0.99419999999999997</v>
          </cell>
          <cell r="H365">
            <v>0.80530000000000002</v>
          </cell>
        </row>
        <row r="366">
          <cell r="B366" t="str">
            <v>Jasmine Ruiz</v>
          </cell>
          <cell r="C366">
            <v>2579</v>
          </cell>
          <cell r="D366">
            <v>0.92220000000000002</v>
          </cell>
          <cell r="E366">
            <v>0.64790000000000003</v>
          </cell>
          <cell r="F366">
            <v>0.92490000000000006</v>
          </cell>
          <cell r="G366">
            <v>0.99399999999999999</v>
          </cell>
          <cell r="H366">
            <v>0.84789999999999999</v>
          </cell>
        </row>
        <row r="367">
          <cell r="B367" t="str">
            <v>Marion Jones</v>
          </cell>
          <cell r="C367">
            <v>2576</v>
          </cell>
          <cell r="D367">
            <v>0.92689999999999995</v>
          </cell>
          <cell r="E367">
            <v>0.70960000000000001</v>
          </cell>
          <cell r="F367">
            <v>0.92090000000000005</v>
          </cell>
          <cell r="G367">
            <v>0.99039999999999995</v>
          </cell>
          <cell r="H367">
            <v>0.86629999999999996</v>
          </cell>
        </row>
        <row r="368">
          <cell r="B368" t="str">
            <v>Kalli Payne</v>
          </cell>
          <cell r="C368">
            <v>2573</v>
          </cell>
          <cell r="D368">
            <v>0.94489999999999996</v>
          </cell>
          <cell r="E368">
            <v>0.73819999999999997</v>
          </cell>
          <cell r="F368">
            <v>0.93369999999999997</v>
          </cell>
          <cell r="G368">
            <v>0.99139999999999995</v>
          </cell>
          <cell r="H368">
            <v>0.88419999999999999</v>
          </cell>
        </row>
        <row r="369">
          <cell r="B369" t="str">
            <v>Matthew Garcia</v>
          </cell>
          <cell r="C369">
            <v>2573</v>
          </cell>
          <cell r="D369">
            <v>0.87960000000000005</v>
          </cell>
          <cell r="E369">
            <v>0.68879999999999997</v>
          </cell>
          <cell r="F369">
            <v>0.77100000000000002</v>
          </cell>
          <cell r="G369">
            <v>0.99760000000000004</v>
          </cell>
          <cell r="H369">
            <v>0.80159999999999998</v>
          </cell>
        </row>
        <row r="370">
          <cell r="B370" t="str">
            <v>Isiah Alston</v>
          </cell>
          <cell r="C370">
            <v>2569</v>
          </cell>
          <cell r="D370">
            <v>0.82569999999999999</v>
          </cell>
          <cell r="E370">
            <v>0.69840000000000002</v>
          </cell>
          <cell r="F370">
            <v>0.86870000000000003</v>
          </cell>
          <cell r="G370">
            <v>0.98089999999999999</v>
          </cell>
          <cell r="H370">
            <v>0.81589999999999996</v>
          </cell>
        </row>
        <row r="371">
          <cell r="B371" t="str">
            <v>Grace-Ann Nwangwa</v>
          </cell>
          <cell r="C371">
            <v>2568</v>
          </cell>
          <cell r="D371">
            <v>0.92669999999999997</v>
          </cell>
          <cell r="E371">
            <v>0.64890000000000003</v>
          </cell>
          <cell r="F371">
            <v>0.81840000000000002</v>
          </cell>
          <cell r="G371">
            <v>0.99450000000000005</v>
          </cell>
          <cell r="H371">
            <v>0.81759999999999999</v>
          </cell>
        </row>
        <row r="372">
          <cell r="B372" t="str">
            <v>Julian Macias</v>
          </cell>
          <cell r="C372">
            <v>2567</v>
          </cell>
          <cell r="D372">
            <v>0.88729999999999998</v>
          </cell>
          <cell r="E372">
            <v>0.63890000000000002</v>
          </cell>
          <cell r="F372">
            <v>0.80320000000000003</v>
          </cell>
          <cell r="G372">
            <v>0.99739999999999995</v>
          </cell>
          <cell r="H372">
            <v>0.79849999999999999</v>
          </cell>
        </row>
        <row r="373">
          <cell r="B373" t="str">
            <v>Amaris Johnson</v>
          </cell>
          <cell r="C373">
            <v>2564</v>
          </cell>
          <cell r="D373">
            <v>0.79220000000000002</v>
          </cell>
          <cell r="E373">
            <v>0.68340000000000001</v>
          </cell>
          <cell r="F373">
            <v>0.88319999999999999</v>
          </cell>
          <cell r="G373">
            <v>0.98829999999999996</v>
          </cell>
          <cell r="H373">
            <v>0.80649999999999999</v>
          </cell>
        </row>
        <row r="374">
          <cell r="B374" t="str">
            <v>Taylor Hoepfinger</v>
          </cell>
          <cell r="C374">
            <v>2561</v>
          </cell>
          <cell r="D374">
            <v>0.84140000000000004</v>
          </cell>
          <cell r="E374">
            <v>0.68589999999999995</v>
          </cell>
          <cell r="F374">
            <v>0.95779999999999998</v>
          </cell>
          <cell r="G374">
            <v>0.99660000000000004</v>
          </cell>
          <cell r="H374">
            <v>0.84519999999999995</v>
          </cell>
        </row>
        <row r="375">
          <cell r="B375" t="str">
            <v>Tina Cook</v>
          </cell>
          <cell r="C375">
            <v>2561</v>
          </cell>
          <cell r="D375">
            <v>0.92800000000000005</v>
          </cell>
          <cell r="E375">
            <v>0.70120000000000005</v>
          </cell>
          <cell r="F375">
            <v>0.89529999999999998</v>
          </cell>
          <cell r="G375">
            <v>0.98229999999999995</v>
          </cell>
          <cell r="H375">
            <v>0.85560000000000003</v>
          </cell>
        </row>
        <row r="376">
          <cell r="B376" t="str">
            <v>Sapphire Bowley</v>
          </cell>
          <cell r="C376">
            <v>2560</v>
          </cell>
          <cell r="D376">
            <v>0.95309999999999995</v>
          </cell>
          <cell r="E376">
            <v>0.70930000000000004</v>
          </cell>
          <cell r="F376">
            <v>0.88970000000000005</v>
          </cell>
          <cell r="G376">
            <v>0.99629999999999996</v>
          </cell>
          <cell r="H376">
            <v>0.86529999999999996</v>
          </cell>
        </row>
        <row r="377">
          <cell r="B377" t="str">
            <v>Amanda Hamilton</v>
          </cell>
          <cell r="C377">
            <v>2559</v>
          </cell>
          <cell r="D377">
            <v>0.90229999999999999</v>
          </cell>
          <cell r="E377">
            <v>0.67359999999999998</v>
          </cell>
          <cell r="F377">
            <v>0.95309999999999995</v>
          </cell>
          <cell r="G377">
            <v>0.99560000000000004</v>
          </cell>
          <cell r="H377">
            <v>0.85829999999999995</v>
          </cell>
        </row>
        <row r="378">
          <cell r="B378" t="str">
            <v>Raymond Henry</v>
          </cell>
          <cell r="C378">
            <v>2559</v>
          </cell>
          <cell r="D378">
            <v>0.81169999999999998</v>
          </cell>
          <cell r="E378">
            <v>0.63880000000000003</v>
          </cell>
          <cell r="F378">
            <v>0.87039999999999995</v>
          </cell>
          <cell r="G378">
            <v>0.99639999999999995</v>
          </cell>
          <cell r="H378">
            <v>0.79590000000000005</v>
          </cell>
        </row>
        <row r="379">
          <cell r="B379" t="str">
            <v>Joshie Griffin</v>
          </cell>
          <cell r="C379">
            <v>2558</v>
          </cell>
          <cell r="D379">
            <v>0.9556</v>
          </cell>
          <cell r="E379">
            <v>0.70020000000000004</v>
          </cell>
          <cell r="F379">
            <v>0.87129999999999996</v>
          </cell>
          <cell r="G379">
            <v>0.99129999999999996</v>
          </cell>
          <cell r="H379">
            <v>0.85719999999999996</v>
          </cell>
        </row>
        <row r="380">
          <cell r="B380" t="str">
            <v>Carol Streuber</v>
          </cell>
          <cell r="C380">
            <v>2558</v>
          </cell>
          <cell r="D380">
            <v>0.84960000000000002</v>
          </cell>
          <cell r="E380">
            <v>0.627</v>
          </cell>
          <cell r="F380">
            <v>0.86770000000000003</v>
          </cell>
          <cell r="G380">
            <v>0.98760000000000003</v>
          </cell>
          <cell r="H380">
            <v>0.80210000000000004</v>
          </cell>
        </row>
        <row r="381">
          <cell r="B381" t="str">
            <v>Kenny Frost</v>
          </cell>
          <cell r="C381">
            <v>2557</v>
          </cell>
          <cell r="D381">
            <v>0.78779999999999994</v>
          </cell>
          <cell r="E381">
            <v>0.60709999999999997</v>
          </cell>
          <cell r="F381">
            <v>0.83550000000000002</v>
          </cell>
          <cell r="G381">
            <v>0.99450000000000005</v>
          </cell>
          <cell r="H381">
            <v>0.76859999999999995</v>
          </cell>
        </row>
        <row r="382">
          <cell r="B382" t="str">
            <v>Sophia Robinson</v>
          </cell>
          <cell r="C382">
            <v>2552</v>
          </cell>
          <cell r="D382">
            <v>0.73029999999999995</v>
          </cell>
          <cell r="E382">
            <v>0.81110000000000004</v>
          </cell>
          <cell r="F382">
            <v>0.84260000000000002</v>
          </cell>
          <cell r="G382">
            <v>0.98650000000000004</v>
          </cell>
          <cell r="H382">
            <v>0.81379999999999997</v>
          </cell>
        </row>
        <row r="383">
          <cell r="B383" t="str">
            <v>Joanah Stone</v>
          </cell>
          <cell r="C383">
            <v>2547</v>
          </cell>
          <cell r="D383">
            <v>0.96479999999999999</v>
          </cell>
          <cell r="E383">
            <v>0.75239999999999996</v>
          </cell>
          <cell r="F383">
            <v>0.97409999999999997</v>
          </cell>
          <cell r="G383">
            <v>0.99539999999999995</v>
          </cell>
          <cell r="H383">
            <v>0.90690000000000004</v>
          </cell>
        </row>
        <row r="384">
          <cell r="B384" t="str">
            <v>Gladys Momoh</v>
          </cell>
          <cell r="C384">
            <v>2546</v>
          </cell>
          <cell r="D384">
            <v>0.79530000000000001</v>
          </cell>
          <cell r="E384">
            <v>0.63780000000000003</v>
          </cell>
          <cell r="F384">
            <v>0.86180000000000001</v>
          </cell>
          <cell r="G384">
            <v>0.99260000000000004</v>
          </cell>
          <cell r="H384">
            <v>0.78769999999999996</v>
          </cell>
        </row>
        <row r="385">
          <cell r="B385" t="str">
            <v>Jennifer Barge</v>
          </cell>
          <cell r="C385">
            <v>2546</v>
          </cell>
          <cell r="D385">
            <v>0.89370000000000005</v>
          </cell>
          <cell r="E385">
            <v>0.67620000000000002</v>
          </cell>
          <cell r="F385">
            <v>0.89249999999999996</v>
          </cell>
          <cell r="G385">
            <v>0.99060000000000004</v>
          </cell>
          <cell r="H385">
            <v>0.83779999999999999</v>
          </cell>
        </row>
        <row r="386">
          <cell r="B386" t="str">
            <v>Dominique Epps</v>
          </cell>
          <cell r="C386">
            <v>2543</v>
          </cell>
          <cell r="D386">
            <v>0.89670000000000005</v>
          </cell>
          <cell r="E386">
            <v>0.70240000000000002</v>
          </cell>
          <cell r="F386">
            <v>0.87949999999999995</v>
          </cell>
          <cell r="G386">
            <v>0.99250000000000005</v>
          </cell>
          <cell r="H386">
            <v>0.84279999999999999</v>
          </cell>
        </row>
        <row r="387">
          <cell r="B387" t="str">
            <v>Yusef Belfrey</v>
          </cell>
          <cell r="C387">
            <v>2542</v>
          </cell>
          <cell r="D387">
            <v>0.8105</v>
          </cell>
          <cell r="E387">
            <v>0.66269999999999996</v>
          </cell>
          <cell r="F387">
            <v>0.80030000000000001</v>
          </cell>
          <cell r="G387">
            <v>0.98740000000000006</v>
          </cell>
          <cell r="H387">
            <v>0.78080000000000005</v>
          </cell>
        </row>
        <row r="388">
          <cell r="B388" t="str">
            <v>Dianey Leon</v>
          </cell>
          <cell r="C388">
            <v>2540</v>
          </cell>
          <cell r="D388">
            <v>0.86529999999999996</v>
          </cell>
          <cell r="E388">
            <v>0.7157</v>
          </cell>
          <cell r="F388">
            <v>0.88529999999999998</v>
          </cell>
          <cell r="G388">
            <v>0.99809999999999999</v>
          </cell>
          <cell r="H388">
            <v>0.8397</v>
          </cell>
        </row>
        <row r="389">
          <cell r="B389" t="str">
            <v>Jasmine Howard</v>
          </cell>
          <cell r="C389">
            <v>2537</v>
          </cell>
          <cell r="D389">
            <v>0.8669</v>
          </cell>
          <cell r="E389">
            <v>0.68030000000000002</v>
          </cell>
          <cell r="F389">
            <v>0.87109999999999999</v>
          </cell>
          <cell r="G389">
            <v>0.98870000000000002</v>
          </cell>
          <cell r="H389">
            <v>0.82440000000000002</v>
          </cell>
        </row>
        <row r="390">
          <cell r="B390" t="str">
            <v>Peter Centineo</v>
          </cell>
          <cell r="C390">
            <v>2536</v>
          </cell>
          <cell r="D390">
            <v>0.91239999999999999</v>
          </cell>
          <cell r="E390">
            <v>0.65380000000000005</v>
          </cell>
          <cell r="F390">
            <v>0.92500000000000004</v>
          </cell>
          <cell r="G390">
            <v>0.98450000000000004</v>
          </cell>
          <cell r="H390">
            <v>0.84589999999999999</v>
          </cell>
        </row>
        <row r="391">
          <cell r="B391" t="str">
            <v>Kelsi Walker</v>
          </cell>
          <cell r="C391">
            <v>2535</v>
          </cell>
          <cell r="D391">
            <v>0.93430000000000002</v>
          </cell>
          <cell r="E391">
            <v>0.79720000000000002</v>
          </cell>
          <cell r="F391">
            <v>0.88919999999999999</v>
          </cell>
          <cell r="G391">
            <v>0.99380000000000002</v>
          </cell>
          <cell r="H391">
            <v>0.88560000000000005</v>
          </cell>
        </row>
        <row r="392">
          <cell r="B392" t="str">
            <v>Camalle Laster</v>
          </cell>
          <cell r="C392">
            <v>2531</v>
          </cell>
          <cell r="D392">
            <v>0.9032</v>
          </cell>
          <cell r="E392">
            <v>0.6694</v>
          </cell>
          <cell r="F392">
            <v>0.86240000000000006</v>
          </cell>
          <cell r="G392">
            <v>0.99490000000000001</v>
          </cell>
          <cell r="H392">
            <v>0.83</v>
          </cell>
        </row>
        <row r="393">
          <cell r="B393" t="str">
            <v>William Kissentaner</v>
          </cell>
          <cell r="C393">
            <v>2530</v>
          </cell>
          <cell r="D393">
            <v>0.90190000000000003</v>
          </cell>
          <cell r="E393">
            <v>0.64810000000000001</v>
          </cell>
          <cell r="F393">
            <v>0.80389999999999995</v>
          </cell>
          <cell r="G393">
            <v>0.99450000000000005</v>
          </cell>
          <cell r="H393">
            <v>0.80559999999999998</v>
          </cell>
        </row>
        <row r="394">
          <cell r="B394" t="str">
            <v>Rochelle Rone</v>
          </cell>
          <cell r="C394">
            <v>2529</v>
          </cell>
          <cell r="D394">
            <v>0.94099999999999995</v>
          </cell>
          <cell r="E394">
            <v>0.71179999999999999</v>
          </cell>
          <cell r="F394">
            <v>0.93279999999999996</v>
          </cell>
          <cell r="G394">
            <v>0.99380000000000002</v>
          </cell>
          <cell r="H394">
            <v>0.87509999999999999</v>
          </cell>
        </row>
        <row r="395">
          <cell r="B395" t="str">
            <v>Shannon Smith</v>
          </cell>
          <cell r="C395">
            <v>2527</v>
          </cell>
          <cell r="D395">
            <v>0.94530000000000003</v>
          </cell>
          <cell r="E395">
            <v>0.73399999999999999</v>
          </cell>
          <cell r="F395">
            <v>0.91369999999999996</v>
          </cell>
          <cell r="G395">
            <v>0.99409999999999998</v>
          </cell>
          <cell r="H395">
            <v>0.87729999999999997</v>
          </cell>
        </row>
        <row r="396">
          <cell r="B396" t="str">
            <v>Crissy Jensen</v>
          </cell>
          <cell r="C396">
            <v>2526</v>
          </cell>
          <cell r="D396">
            <v>0.8387</v>
          </cell>
          <cell r="E396">
            <v>0.67810000000000004</v>
          </cell>
          <cell r="F396">
            <v>0.88790000000000002</v>
          </cell>
          <cell r="G396">
            <v>0.98409999999999997</v>
          </cell>
          <cell r="H396">
            <v>0.81979999999999997</v>
          </cell>
        </row>
        <row r="397">
          <cell r="B397" t="str">
            <v>Eudora Coleman</v>
          </cell>
          <cell r="C397">
            <v>2522</v>
          </cell>
          <cell r="D397">
            <v>0.89149999999999996</v>
          </cell>
          <cell r="E397">
            <v>0.69779999999999998</v>
          </cell>
          <cell r="F397">
            <v>0.85089999999999999</v>
          </cell>
          <cell r="G397">
            <v>0.99709999999999999</v>
          </cell>
          <cell r="H397">
            <v>0.83179999999999998</v>
          </cell>
        </row>
        <row r="398">
          <cell r="B398" t="str">
            <v>Claude Moss</v>
          </cell>
          <cell r="C398">
            <v>2520</v>
          </cell>
          <cell r="D398">
            <v>0.89219999999999999</v>
          </cell>
          <cell r="E398">
            <v>0.67249999999999999</v>
          </cell>
          <cell r="F398">
            <v>0.90759999999999996</v>
          </cell>
          <cell r="G398">
            <v>0.99199999999999999</v>
          </cell>
          <cell r="H398">
            <v>0.84089999999999998</v>
          </cell>
        </row>
        <row r="399">
          <cell r="B399" t="str">
            <v>Daphne Camacho</v>
          </cell>
          <cell r="C399">
            <v>2520</v>
          </cell>
          <cell r="D399">
            <v>0.88070000000000004</v>
          </cell>
          <cell r="E399">
            <v>0.7359</v>
          </cell>
          <cell r="F399">
            <v>0.8861</v>
          </cell>
          <cell r="G399">
            <v>0.99360000000000004</v>
          </cell>
          <cell r="H399">
            <v>0.85019999999999996</v>
          </cell>
        </row>
        <row r="400">
          <cell r="B400" t="str">
            <v>Shiloh Christian</v>
          </cell>
          <cell r="C400">
            <v>2518</v>
          </cell>
          <cell r="D400">
            <v>0.78129999999999999</v>
          </cell>
          <cell r="E400">
            <v>0.64370000000000005</v>
          </cell>
          <cell r="F400">
            <v>0.90439999999999998</v>
          </cell>
          <cell r="G400">
            <v>0.99209999999999998</v>
          </cell>
          <cell r="H400">
            <v>0.79800000000000004</v>
          </cell>
        </row>
        <row r="401">
          <cell r="B401" t="str">
            <v>Ilene Galvez</v>
          </cell>
          <cell r="C401">
            <v>2517</v>
          </cell>
          <cell r="D401">
            <v>0.85580000000000001</v>
          </cell>
          <cell r="E401">
            <v>0.66410000000000002</v>
          </cell>
          <cell r="F401">
            <v>0.81730000000000003</v>
          </cell>
          <cell r="G401">
            <v>0.99650000000000005</v>
          </cell>
          <cell r="H401">
            <v>0.80079999999999996</v>
          </cell>
        </row>
        <row r="402">
          <cell r="B402" t="str">
            <v>Reka Anderson</v>
          </cell>
          <cell r="C402">
            <v>2516</v>
          </cell>
          <cell r="D402">
            <v>0.78139999999999998</v>
          </cell>
          <cell r="E402">
            <v>0.68989999999999996</v>
          </cell>
          <cell r="F402">
            <v>0.86829999999999996</v>
          </cell>
          <cell r="G402">
            <v>0.99670000000000003</v>
          </cell>
          <cell r="H402">
            <v>0.80159999999999998</v>
          </cell>
        </row>
        <row r="403">
          <cell r="B403" t="str">
            <v>Michelle Suarez</v>
          </cell>
          <cell r="C403">
            <v>2515</v>
          </cell>
          <cell r="D403">
            <v>0.89529999999999998</v>
          </cell>
          <cell r="E403">
            <v>0.71730000000000005</v>
          </cell>
          <cell r="F403">
            <v>0.91779999999999995</v>
          </cell>
          <cell r="G403">
            <v>0.99480000000000002</v>
          </cell>
          <cell r="H403">
            <v>0.85860000000000003</v>
          </cell>
        </row>
        <row r="404">
          <cell r="B404" t="str">
            <v>Jacob Searle</v>
          </cell>
          <cell r="C404">
            <v>2512</v>
          </cell>
          <cell r="D404">
            <v>0.75880000000000003</v>
          </cell>
          <cell r="E404">
            <v>0.64419999999999999</v>
          </cell>
          <cell r="F404">
            <v>0.80959999999999999</v>
          </cell>
          <cell r="G404">
            <v>0.99270000000000003</v>
          </cell>
          <cell r="H404">
            <v>0.76300000000000001</v>
          </cell>
        </row>
        <row r="405">
          <cell r="B405" t="str">
            <v>Wood Baptiste</v>
          </cell>
          <cell r="C405">
            <v>2509</v>
          </cell>
          <cell r="D405">
            <v>0.73839999999999995</v>
          </cell>
          <cell r="E405">
            <v>0.63319999999999999</v>
          </cell>
          <cell r="F405">
            <v>0.79700000000000004</v>
          </cell>
          <cell r="G405">
            <v>0.98219999999999996</v>
          </cell>
          <cell r="H405">
            <v>0.74880000000000002</v>
          </cell>
        </row>
        <row r="406">
          <cell r="B406" t="str">
            <v>Judith Carter</v>
          </cell>
          <cell r="C406">
            <v>2509</v>
          </cell>
          <cell r="D406">
            <v>0.93379999999999996</v>
          </cell>
          <cell r="E406">
            <v>0.66259999999999997</v>
          </cell>
          <cell r="F406">
            <v>0.93659999999999999</v>
          </cell>
          <cell r="G406">
            <v>0.98899999999999999</v>
          </cell>
          <cell r="H406">
            <v>0.85880000000000001</v>
          </cell>
        </row>
        <row r="407">
          <cell r="B407" t="str">
            <v>Hannah Pettway</v>
          </cell>
          <cell r="C407">
            <v>2508</v>
          </cell>
          <cell r="D407">
            <v>0.97089999999999999</v>
          </cell>
          <cell r="E407">
            <v>0.72489999999999999</v>
          </cell>
          <cell r="F407">
            <v>0.90880000000000005</v>
          </cell>
          <cell r="G407">
            <v>0.99870000000000003</v>
          </cell>
          <cell r="H407">
            <v>0.88129999999999997</v>
          </cell>
        </row>
        <row r="408">
          <cell r="B408" t="str">
            <v>Tykira Cook</v>
          </cell>
          <cell r="C408">
            <v>2506</v>
          </cell>
          <cell r="D408">
            <v>0.90290000000000004</v>
          </cell>
          <cell r="E408">
            <v>0.68189999999999995</v>
          </cell>
          <cell r="F408">
            <v>0.90639999999999998</v>
          </cell>
          <cell r="G408">
            <v>0.9929</v>
          </cell>
          <cell r="H408">
            <v>0.84670000000000001</v>
          </cell>
        </row>
        <row r="409">
          <cell r="B409" t="str">
            <v>Laurel Parke-Kirby</v>
          </cell>
          <cell r="C409">
            <v>2505</v>
          </cell>
          <cell r="D409">
            <v>0.95499999999999996</v>
          </cell>
          <cell r="E409">
            <v>0.71779999999999999</v>
          </cell>
          <cell r="F409">
            <v>0.87739999999999996</v>
          </cell>
          <cell r="G409">
            <v>0.98960000000000004</v>
          </cell>
          <cell r="H409">
            <v>0.86399999999999999</v>
          </cell>
        </row>
        <row r="410">
          <cell r="B410" t="str">
            <v>Kayla Bridges</v>
          </cell>
          <cell r="C410">
            <v>2505</v>
          </cell>
          <cell r="D410">
            <v>0.93459999999999999</v>
          </cell>
          <cell r="E410">
            <v>0.66800000000000004</v>
          </cell>
          <cell r="F410">
            <v>0.89410000000000001</v>
          </cell>
          <cell r="G410">
            <v>0.99429999999999996</v>
          </cell>
          <cell r="H410">
            <v>0.84850000000000003</v>
          </cell>
        </row>
        <row r="411">
          <cell r="B411" t="str">
            <v>Kameron Randle</v>
          </cell>
          <cell r="C411">
            <v>2502</v>
          </cell>
          <cell r="D411">
            <v>0.89890000000000003</v>
          </cell>
          <cell r="E411">
            <v>0.67859999999999998</v>
          </cell>
          <cell r="F411">
            <v>0.8367</v>
          </cell>
          <cell r="G411">
            <v>0.99580000000000002</v>
          </cell>
          <cell r="H411">
            <v>0.82389999999999997</v>
          </cell>
        </row>
        <row r="412">
          <cell r="B412" t="str">
            <v>Lorrie Stanley</v>
          </cell>
          <cell r="C412">
            <v>2501</v>
          </cell>
          <cell r="D412">
            <v>0.89639999999999997</v>
          </cell>
          <cell r="E412">
            <v>0.70809999999999995</v>
          </cell>
          <cell r="F412">
            <v>0.93420000000000003</v>
          </cell>
          <cell r="G412">
            <v>0.99199999999999999</v>
          </cell>
          <cell r="H412">
            <v>0.86080000000000001</v>
          </cell>
        </row>
        <row r="413">
          <cell r="B413" t="str">
            <v>Breanna Jordan</v>
          </cell>
          <cell r="C413">
            <v>2500</v>
          </cell>
          <cell r="D413">
            <v>0.92749999999999999</v>
          </cell>
          <cell r="E413">
            <v>0.74570000000000003</v>
          </cell>
          <cell r="F413">
            <v>0.91459999999999997</v>
          </cell>
          <cell r="G413">
            <v>0.98029999999999995</v>
          </cell>
          <cell r="H413">
            <v>0.87439999999999996</v>
          </cell>
        </row>
        <row r="414">
          <cell r="B414" t="str">
            <v>Satin Brown</v>
          </cell>
          <cell r="C414">
            <v>2500</v>
          </cell>
          <cell r="D414">
            <v>0.77510000000000001</v>
          </cell>
          <cell r="E414">
            <v>0.64059999999999995</v>
          </cell>
          <cell r="F414">
            <v>0.84630000000000005</v>
          </cell>
          <cell r="G414">
            <v>0.99099999999999999</v>
          </cell>
          <cell r="H414">
            <v>0.77769999999999995</v>
          </cell>
        </row>
        <row r="415">
          <cell r="B415" t="str">
            <v>Asia Spelton</v>
          </cell>
          <cell r="C415">
            <v>2500</v>
          </cell>
          <cell r="D415">
            <v>0.92649999999999999</v>
          </cell>
          <cell r="E415">
            <v>0.67689999999999995</v>
          </cell>
          <cell r="F415">
            <v>0.90280000000000005</v>
          </cell>
          <cell r="G415">
            <v>0.99260000000000004</v>
          </cell>
          <cell r="H415">
            <v>0.85109999999999997</v>
          </cell>
        </row>
        <row r="416">
          <cell r="B416" t="str">
            <v>Rebecca Jenne</v>
          </cell>
          <cell r="C416">
            <v>2499</v>
          </cell>
          <cell r="D416">
            <v>0.85029999999999994</v>
          </cell>
          <cell r="E416">
            <v>0.66049999999999998</v>
          </cell>
          <cell r="F416">
            <v>0.88500000000000001</v>
          </cell>
          <cell r="G416">
            <v>0.99270000000000003</v>
          </cell>
          <cell r="H416">
            <v>0.81799999999999995</v>
          </cell>
        </row>
        <row r="417">
          <cell r="B417" t="str">
            <v>Beverly Murphy</v>
          </cell>
          <cell r="C417">
            <v>2497</v>
          </cell>
          <cell r="D417">
            <v>0.89429999999999998</v>
          </cell>
          <cell r="E417">
            <v>0.69920000000000004</v>
          </cell>
          <cell r="F417">
            <v>0.90869999999999995</v>
          </cell>
          <cell r="G417">
            <v>0.99519999999999997</v>
          </cell>
          <cell r="H417">
            <v>0.85019999999999996</v>
          </cell>
        </row>
        <row r="418">
          <cell r="B418" t="str">
            <v>Jalesia Jones</v>
          </cell>
          <cell r="C418">
            <v>2495</v>
          </cell>
          <cell r="D418">
            <v>0.8448</v>
          </cell>
          <cell r="E418">
            <v>0.64449999999999996</v>
          </cell>
          <cell r="F418">
            <v>0.90849999999999997</v>
          </cell>
          <cell r="G418">
            <v>0.99080000000000001</v>
          </cell>
          <cell r="H418">
            <v>0.81840000000000002</v>
          </cell>
        </row>
        <row r="419">
          <cell r="B419" t="str">
            <v>Alan Cordero</v>
          </cell>
          <cell r="C419">
            <v>2494</v>
          </cell>
          <cell r="D419">
            <v>0.73860000000000003</v>
          </cell>
          <cell r="E419">
            <v>0.69069999999999998</v>
          </cell>
          <cell r="F419">
            <v>0.8972</v>
          </cell>
          <cell r="G419">
            <v>0.99250000000000005</v>
          </cell>
          <cell r="H419">
            <v>0.79720000000000002</v>
          </cell>
        </row>
        <row r="420">
          <cell r="B420" t="str">
            <v>Monique Alvarez</v>
          </cell>
          <cell r="C420">
            <v>2490</v>
          </cell>
          <cell r="D420">
            <v>0.94210000000000005</v>
          </cell>
          <cell r="E420">
            <v>0.74150000000000005</v>
          </cell>
          <cell r="F420">
            <v>0.93840000000000001</v>
          </cell>
          <cell r="G420">
            <v>0.99439999999999995</v>
          </cell>
          <cell r="H420">
            <v>0.88600000000000001</v>
          </cell>
        </row>
        <row r="421">
          <cell r="B421" t="str">
            <v>Deja Chantelle Cole</v>
          </cell>
          <cell r="C421">
            <v>2490</v>
          </cell>
          <cell r="D421">
            <v>0.89459999999999995</v>
          </cell>
          <cell r="E421">
            <v>0.66659999999999997</v>
          </cell>
          <cell r="F421">
            <v>0.8891</v>
          </cell>
          <cell r="G421">
            <v>0.99770000000000003</v>
          </cell>
          <cell r="H421">
            <v>0.83479999999999999</v>
          </cell>
        </row>
        <row r="422">
          <cell r="B422" t="str">
            <v>Paul Martinez</v>
          </cell>
          <cell r="C422">
            <v>2489</v>
          </cell>
          <cell r="D422">
            <v>0.93569999999999998</v>
          </cell>
          <cell r="E422">
            <v>0.68179999999999996</v>
          </cell>
          <cell r="F422">
            <v>0.86480000000000001</v>
          </cell>
          <cell r="G422">
            <v>0.99460000000000004</v>
          </cell>
          <cell r="H422">
            <v>0.84409999999999996</v>
          </cell>
        </row>
        <row r="423">
          <cell r="B423" t="str">
            <v>Mishelle Morales</v>
          </cell>
          <cell r="C423">
            <v>2486</v>
          </cell>
          <cell r="D423">
            <v>0.93840000000000001</v>
          </cell>
          <cell r="E423">
            <v>0.70099999999999996</v>
          </cell>
          <cell r="F423">
            <v>0.92049999999999998</v>
          </cell>
          <cell r="G423">
            <v>0.99670000000000003</v>
          </cell>
          <cell r="H423">
            <v>0.86760000000000004</v>
          </cell>
        </row>
        <row r="424">
          <cell r="B424" t="str">
            <v>Shakia Lewis</v>
          </cell>
          <cell r="C424">
            <v>2485</v>
          </cell>
          <cell r="D424">
            <v>0.85099999999999998</v>
          </cell>
          <cell r="E424">
            <v>0.67610000000000003</v>
          </cell>
          <cell r="F424">
            <v>0.87839999999999996</v>
          </cell>
          <cell r="G424">
            <v>0.98870000000000002</v>
          </cell>
          <cell r="H424">
            <v>0.82050000000000001</v>
          </cell>
        </row>
        <row r="425">
          <cell r="B425" t="str">
            <v>Daisy Erazo</v>
          </cell>
          <cell r="C425">
            <v>2485</v>
          </cell>
          <cell r="D425">
            <v>0.90539999999999998</v>
          </cell>
          <cell r="E425">
            <v>0.67649999999999999</v>
          </cell>
          <cell r="F425">
            <v>0.92520000000000002</v>
          </cell>
          <cell r="G425">
            <v>0.997</v>
          </cell>
          <cell r="H425">
            <v>0.8518</v>
          </cell>
        </row>
        <row r="426">
          <cell r="B426" t="str">
            <v>Mark Pena</v>
          </cell>
          <cell r="C426">
            <v>2484</v>
          </cell>
          <cell r="D426">
            <v>0.86240000000000006</v>
          </cell>
          <cell r="E426">
            <v>0.68010000000000004</v>
          </cell>
          <cell r="F426">
            <v>0.877</v>
          </cell>
          <cell r="G426">
            <v>0.99339999999999995</v>
          </cell>
          <cell r="H426">
            <v>0.82520000000000004</v>
          </cell>
        </row>
        <row r="427">
          <cell r="B427" t="str">
            <v>Shantell Taylor</v>
          </cell>
          <cell r="C427">
            <v>2484</v>
          </cell>
          <cell r="D427">
            <v>0.87760000000000005</v>
          </cell>
          <cell r="E427">
            <v>0.69410000000000005</v>
          </cell>
          <cell r="F427">
            <v>0.84250000000000003</v>
          </cell>
          <cell r="G427">
            <v>0.99309999999999998</v>
          </cell>
          <cell r="H427">
            <v>0.8236</v>
          </cell>
        </row>
        <row r="428">
          <cell r="B428" t="str">
            <v>William Sweet</v>
          </cell>
          <cell r="C428">
            <v>2481</v>
          </cell>
          <cell r="D428">
            <v>0.91159999999999997</v>
          </cell>
          <cell r="E428">
            <v>0.73440000000000005</v>
          </cell>
          <cell r="F428">
            <v>0.92249999999999999</v>
          </cell>
          <cell r="G428">
            <v>0.99509999999999998</v>
          </cell>
          <cell r="H428">
            <v>0.87</v>
          </cell>
        </row>
        <row r="429">
          <cell r="B429" t="str">
            <v>Symone Sneed</v>
          </cell>
          <cell r="C429">
            <v>2481</v>
          </cell>
          <cell r="D429">
            <v>0.78390000000000004</v>
          </cell>
          <cell r="E429">
            <v>0.66059999999999997</v>
          </cell>
          <cell r="F429">
            <v>0.83220000000000005</v>
          </cell>
          <cell r="G429">
            <v>0.99529999999999996</v>
          </cell>
          <cell r="H429">
            <v>0.78249999999999997</v>
          </cell>
        </row>
        <row r="430">
          <cell r="B430" t="str">
            <v>Billy Xiong</v>
          </cell>
          <cell r="C430">
            <v>2480</v>
          </cell>
          <cell r="D430">
            <v>0.83020000000000005</v>
          </cell>
          <cell r="E430">
            <v>0.6653</v>
          </cell>
          <cell r="F430">
            <v>0.74919999999999998</v>
          </cell>
          <cell r="G430">
            <v>0.9929</v>
          </cell>
          <cell r="H430">
            <v>0.77270000000000005</v>
          </cell>
        </row>
        <row r="431">
          <cell r="B431" t="str">
            <v>Quanetta Mchellen</v>
          </cell>
          <cell r="C431">
            <v>2479</v>
          </cell>
          <cell r="D431">
            <v>0.87639999999999996</v>
          </cell>
          <cell r="E431">
            <v>0.70530000000000004</v>
          </cell>
          <cell r="F431">
            <v>0.92830000000000001</v>
          </cell>
          <cell r="G431">
            <v>0.99219999999999997</v>
          </cell>
          <cell r="H431">
            <v>0.85219999999999996</v>
          </cell>
        </row>
        <row r="432">
          <cell r="B432" t="str">
            <v>Dominiece Cooley</v>
          </cell>
          <cell r="C432">
            <v>2478</v>
          </cell>
          <cell r="D432">
            <v>0.89929999999999999</v>
          </cell>
          <cell r="E432">
            <v>0.7087</v>
          </cell>
          <cell r="F432">
            <v>0.93340000000000001</v>
          </cell>
          <cell r="G432">
            <v>0.99129999999999996</v>
          </cell>
          <cell r="H432">
            <v>0.86160000000000003</v>
          </cell>
        </row>
        <row r="433">
          <cell r="B433" t="str">
            <v>Antaniya Clanton</v>
          </cell>
          <cell r="C433">
            <v>2477</v>
          </cell>
          <cell r="D433">
            <v>0.95179999999999998</v>
          </cell>
          <cell r="E433">
            <v>0.68600000000000005</v>
          </cell>
          <cell r="F433">
            <v>0.95269999999999999</v>
          </cell>
          <cell r="G433">
            <v>0.99639999999999995</v>
          </cell>
          <cell r="H433">
            <v>0.87680000000000002</v>
          </cell>
        </row>
        <row r="434">
          <cell r="B434" t="str">
            <v>Michael Green</v>
          </cell>
          <cell r="C434">
            <v>2476</v>
          </cell>
          <cell r="D434">
            <v>0.86509999999999998</v>
          </cell>
          <cell r="E434">
            <v>0.68379999999999996</v>
          </cell>
          <cell r="F434">
            <v>0.84809999999999997</v>
          </cell>
          <cell r="G434">
            <v>0.98950000000000005</v>
          </cell>
          <cell r="H434">
            <v>0.81799999999999995</v>
          </cell>
        </row>
        <row r="435">
          <cell r="B435" t="str">
            <v>Ashley Muniz</v>
          </cell>
          <cell r="C435">
            <v>2474</v>
          </cell>
          <cell r="D435">
            <v>0.88239999999999996</v>
          </cell>
          <cell r="E435">
            <v>0.67330000000000001</v>
          </cell>
          <cell r="F435">
            <v>0.94389999999999996</v>
          </cell>
          <cell r="G435">
            <v>0.99539999999999995</v>
          </cell>
          <cell r="H435">
            <v>0.84940000000000004</v>
          </cell>
        </row>
        <row r="436">
          <cell r="B436" t="str">
            <v>Gregory Calhoun</v>
          </cell>
          <cell r="C436">
            <v>2473</v>
          </cell>
          <cell r="D436">
            <v>0.91610000000000003</v>
          </cell>
          <cell r="E436">
            <v>0.70369999999999999</v>
          </cell>
          <cell r="F436">
            <v>0.91510000000000002</v>
          </cell>
          <cell r="G436">
            <v>0.99099999999999999</v>
          </cell>
          <cell r="H436">
            <v>0.85960000000000003</v>
          </cell>
        </row>
        <row r="437">
          <cell r="B437" t="str">
            <v>Jazmine James</v>
          </cell>
          <cell r="C437">
            <v>2471</v>
          </cell>
          <cell r="D437">
            <v>0.96250000000000002</v>
          </cell>
          <cell r="E437">
            <v>0.79579999999999995</v>
          </cell>
          <cell r="F437">
            <v>0.92679999999999996</v>
          </cell>
          <cell r="G437">
            <v>0.99370000000000003</v>
          </cell>
          <cell r="H437">
            <v>0.90490000000000004</v>
          </cell>
        </row>
        <row r="438">
          <cell r="B438" t="str">
            <v>Bryanne Buckhalter</v>
          </cell>
          <cell r="C438">
            <v>2470</v>
          </cell>
          <cell r="D438">
            <v>0.9284</v>
          </cell>
          <cell r="E438">
            <v>0.72040000000000004</v>
          </cell>
          <cell r="F438">
            <v>0.90480000000000005</v>
          </cell>
          <cell r="G438">
            <v>0.99660000000000004</v>
          </cell>
          <cell r="H438">
            <v>0.86570000000000003</v>
          </cell>
        </row>
        <row r="439">
          <cell r="B439" t="str">
            <v>Casie Norman</v>
          </cell>
          <cell r="C439">
            <v>2468</v>
          </cell>
          <cell r="D439">
            <v>0.83709999999999996</v>
          </cell>
          <cell r="E439">
            <v>0.68689999999999996</v>
          </cell>
          <cell r="F439">
            <v>0.85580000000000001</v>
          </cell>
          <cell r="G439">
            <v>0.99309999999999998</v>
          </cell>
          <cell r="H439">
            <v>0.81320000000000003</v>
          </cell>
        </row>
        <row r="440">
          <cell r="B440" t="str">
            <v>Alejandra Mason</v>
          </cell>
          <cell r="C440">
            <v>2467</v>
          </cell>
          <cell r="D440">
            <v>0.74180000000000001</v>
          </cell>
          <cell r="E440">
            <v>0.65720000000000001</v>
          </cell>
          <cell r="F440">
            <v>0.86509999999999998</v>
          </cell>
          <cell r="G440">
            <v>0.99399999999999999</v>
          </cell>
          <cell r="H440">
            <v>0.77859999999999996</v>
          </cell>
        </row>
        <row r="441">
          <cell r="B441" t="str">
            <v>Olivia Flowers</v>
          </cell>
          <cell r="C441">
            <v>2466</v>
          </cell>
          <cell r="D441">
            <v>0.92679999999999996</v>
          </cell>
          <cell r="E441">
            <v>0.72009999999999996</v>
          </cell>
          <cell r="F441">
            <v>0.91010000000000002</v>
          </cell>
          <cell r="G441">
            <v>0.99480000000000002</v>
          </cell>
          <cell r="H441">
            <v>0.86660000000000004</v>
          </cell>
        </row>
        <row r="442">
          <cell r="B442" t="str">
            <v>Diamond Brown</v>
          </cell>
          <cell r="C442">
            <v>2464</v>
          </cell>
          <cell r="D442">
            <v>0.84299999999999997</v>
          </cell>
          <cell r="E442">
            <v>0.56940000000000002</v>
          </cell>
          <cell r="F442">
            <v>0.79239999999999999</v>
          </cell>
          <cell r="G442">
            <v>0.99490000000000001</v>
          </cell>
          <cell r="H442">
            <v>0.76090000000000002</v>
          </cell>
        </row>
        <row r="443">
          <cell r="B443" t="str">
            <v>Citlaly Quintanilla</v>
          </cell>
          <cell r="C443">
            <v>2464</v>
          </cell>
          <cell r="D443">
            <v>0.86809999999999998</v>
          </cell>
          <cell r="E443">
            <v>0.67159999999999997</v>
          </cell>
          <cell r="F443">
            <v>0.85660000000000003</v>
          </cell>
          <cell r="G443">
            <v>0.99180000000000001</v>
          </cell>
          <cell r="H443">
            <v>0.81810000000000005</v>
          </cell>
        </row>
        <row r="444">
          <cell r="B444" t="str">
            <v>Quinton Riddick</v>
          </cell>
          <cell r="C444">
            <v>2460</v>
          </cell>
          <cell r="D444">
            <v>0.85560000000000003</v>
          </cell>
          <cell r="E444">
            <v>0.62129999999999996</v>
          </cell>
          <cell r="F444">
            <v>0.83740000000000003</v>
          </cell>
          <cell r="G444">
            <v>0.99619999999999997</v>
          </cell>
          <cell r="H444">
            <v>0.79390000000000005</v>
          </cell>
        </row>
        <row r="445">
          <cell r="B445" t="str">
            <v>Lindsey Loftus</v>
          </cell>
          <cell r="C445">
            <v>2459</v>
          </cell>
          <cell r="D445">
            <v>0.89159999999999995</v>
          </cell>
          <cell r="E445">
            <v>0.61870000000000003</v>
          </cell>
          <cell r="F445">
            <v>0.78600000000000003</v>
          </cell>
          <cell r="G445">
            <v>0.99409999999999998</v>
          </cell>
          <cell r="H445">
            <v>0.7883</v>
          </cell>
        </row>
        <row r="446">
          <cell r="B446" t="str">
            <v>Antwanette Jackson</v>
          </cell>
          <cell r="C446">
            <v>2459</v>
          </cell>
          <cell r="D446">
            <v>0.90949999999999998</v>
          </cell>
          <cell r="E446">
            <v>0.66710000000000003</v>
          </cell>
          <cell r="F446">
            <v>0.90169999999999995</v>
          </cell>
          <cell r="G446">
            <v>0.98780000000000001</v>
          </cell>
          <cell r="H446">
            <v>0.84230000000000005</v>
          </cell>
        </row>
        <row r="447">
          <cell r="B447" t="str">
            <v>Howard Hiltner</v>
          </cell>
          <cell r="C447">
            <v>2458</v>
          </cell>
          <cell r="D447">
            <v>0.86539999999999995</v>
          </cell>
          <cell r="E447">
            <v>0.68610000000000004</v>
          </cell>
          <cell r="F447">
            <v>0.87939999999999996</v>
          </cell>
          <cell r="G447">
            <v>0.99209999999999998</v>
          </cell>
          <cell r="H447">
            <v>0.82850000000000001</v>
          </cell>
        </row>
        <row r="448">
          <cell r="B448" t="str">
            <v>Candice Hart</v>
          </cell>
          <cell r="C448">
            <v>2456</v>
          </cell>
          <cell r="D448">
            <v>0.90700000000000003</v>
          </cell>
          <cell r="E448">
            <v>0.71379999999999999</v>
          </cell>
          <cell r="F448">
            <v>0.93420000000000003</v>
          </cell>
          <cell r="G448">
            <v>0.99580000000000002</v>
          </cell>
          <cell r="H448">
            <v>0.86609999999999998</v>
          </cell>
        </row>
        <row r="449">
          <cell r="B449" t="str">
            <v>Brinishia Wafer</v>
          </cell>
          <cell r="C449">
            <v>2450</v>
          </cell>
          <cell r="D449">
            <v>0.90820000000000001</v>
          </cell>
          <cell r="E449">
            <v>0.64090000000000003</v>
          </cell>
          <cell r="F449">
            <v>0.91820000000000002</v>
          </cell>
          <cell r="G449">
            <v>0.99429999999999996</v>
          </cell>
          <cell r="H449">
            <v>0.83960000000000001</v>
          </cell>
        </row>
        <row r="450">
          <cell r="B450" t="str">
            <v>Cialan Marshall</v>
          </cell>
          <cell r="C450">
            <v>2449</v>
          </cell>
          <cell r="D450">
            <v>0.90380000000000005</v>
          </cell>
          <cell r="E450">
            <v>0.68420000000000003</v>
          </cell>
          <cell r="F450">
            <v>0.87760000000000005</v>
          </cell>
          <cell r="G450">
            <v>0.99239999999999995</v>
          </cell>
          <cell r="H450">
            <v>0.83889999999999998</v>
          </cell>
        </row>
        <row r="451">
          <cell r="B451" t="str">
            <v>Jaelyn Johnson</v>
          </cell>
          <cell r="C451">
            <v>2448</v>
          </cell>
          <cell r="D451">
            <v>0.88539999999999996</v>
          </cell>
          <cell r="E451">
            <v>0.72619999999999996</v>
          </cell>
          <cell r="F451">
            <v>0.90259999999999996</v>
          </cell>
          <cell r="G451">
            <v>0.99180000000000001</v>
          </cell>
          <cell r="H451">
            <v>0.85340000000000005</v>
          </cell>
        </row>
        <row r="452">
          <cell r="B452" t="str">
            <v>Pierre Millien</v>
          </cell>
          <cell r="C452">
            <v>2447</v>
          </cell>
          <cell r="D452">
            <v>0.78649999999999998</v>
          </cell>
          <cell r="E452">
            <v>0.62339999999999995</v>
          </cell>
          <cell r="F452">
            <v>0.78859999999999997</v>
          </cell>
          <cell r="G452">
            <v>0.995</v>
          </cell>
          <cell r="H452">
            <v>0.7591</v>
          </cell>
        </row>
        <row r="453">
          <cell r="B453" t="str">
            <v>Genise Georges</v>
          </cell>
          <cell r="C453">
            <v>2447</v>
          </cell>
          <cell r="D453">
            <v>0.94240000000000002</v>
          </cell>
          <cell r="E453">
            <v>0.73850000000000005</v>
          </cell>
          <cell r="F453">
            <v>0.9083</v>
          </cell>
          <cell r="G453">
            <v>0.99360000000000004</v>
          </cell>
          <cell r="H453">
            <v>0.87609999999999999</v>
          </cell>
        </row>
        <row r="454">
          <cell r="B454" t="str">
            <v>John Correia</v>
          </cell>
          <cell r="C454">
            <v>2447</v>
          </cell>
          <cell r="D454">
            <v>0.86639999999999995</v>
          </cell>
          <cell r="E454">
            <v>0.72340000000000004</v>
          </cell>
          <cell r="F454">
            <v>0.87980000000000003</v>
          </cell>
          <cell r="G454">
            <v>0.9839</v>
          </cell>
          <cell r="H454">
            <v>0.83930000000000005</v>
          </cell>
        </row>
        <row r="455">
          <cell r="B455" t="str">
            <v>Candie Jones</v>
          </cell>
          <cell r="C455">
            <v>2443</v>
          </cell>
          <cell r="D455">
            <v>0.88639999999999997</v>
          </cell>
          <cell r="E455">
            <v>0.72529999999999994</v>
          </cell>
          <cell r="F455">
            <v>0.88739999999999997</v>
          </cell>
          <cell r="G455">
            <v>0.99339999999999995</v>
          </cell>
          <cell r="H455">
            <v>0.84909999999999997</v>
          </cell>
        </row>
        <row r="456">
          <cell r="B456" t="str">
            <v>Toria Smith</v>
          </cell>
          <cell r="C456">
            <v>2442</v>
          </cell>
          <cell r="D456">
            <v>0.77110000000000001</v>
          </cell>
          <cell r="E456">
            <v>0.65100000000000002</v>
          </cell>
          <cell r="F456">
            <v>0.7944</v>
          </cell>
          <cell r="G456">
            <v>0.99199999999999999</v>
          </cell>
          <cell r="H456">
            <v>0.7641</v>
          </cell>
        </row>
        <row r="457">
          <cell r="B457" t="str">
            <v>Valarie Neal</v>
          </cell>
          <cell r="C457">
            <v>2442</v>
          </cell>
          <cell r="D457">
            <v>0.92030000000000001</v>
          </cell>
          <cell r="E457">
            <v>0.71950000000000003</v>
          </cell>
          <cell r="F457">
            <v>0.87070000000000003</v>
          </cell>
          <cell r="G457">
            <v>0.99419999999999997</v>
          </cell>
          <cell r="H457">
            <v>0.85260000000000002</v>
          </cell>
        </row>
        <row r="458">
          <cell r="B458" t="str">
            <v>Zahriya Kashif</v>
          </cell>
          <cell r="C458">
            <v>2442</v>
          </cell>
          <cell r="D458">
            <v>0.80630000000000002</v>
          </cell>
          <cell r="E458">
            <v>0.6472</v>
          </cell>
          <cell r="F458">
            <v>0.79849999999999999</v>
          </cell>
          <cell r="G458">
            <v>0.99199999999999999</v>
          </cell>
          <cell r="H458">
            <v>0.77480000000000004</v>
          </cell>
        </row>
        <row r="459">
          <cell r="B459" t="str">
            <v>Doc Grayson</v>
          </cell>
          <cell r="C459">
            <v>2442</v>
          </cell>
          <cell r="D459">
            <v>0.8377</v>
          </cell>
          <cell r="E459">
            <v>0.64319999999999999</v>
          </cell>
          <cell r="F459">
            <v>0.8337</v>
          </cell>
          <cell r="G459">
            <v>0.99490000000000001</v>
          </cell>
          <cell r="H459">
            <v>0.79390000000000005</v>
          </cell>
        </row>
        <row r="460">
          <cell r="B460" t="str">
            <v>Virnelene Reynolds</v>
          </cell>
          <cell r="C460">
            <v>2439</v>
          </cell>
          <cell r="D460">
            <v>0.91769999999999996</v>
          </cell>
          <cell r="E460">
            <v>0.70930000000000004</v>
          </cell>
          <cell r="F460">
            <v>0.88939999999999997</v>
          </cell>
          <cell r="G460">
            <v>0.99399999999999999</v>
          </cell>
          <cell r="H460">
            <v>0.85429999999999995</v>
          </cell>
        </row>
        <row r="461">
          <cell r="B461" t="str">
            <v>Tamia Williams</v>
          </cell>
          <cell r="C461">
            <v>2439</v>
          </cell>
          <cell r="D461">
            <v>0.77</v>
          </cell>
          <cell r="E461">
            <v>0.65329999999999999</v>
          </cell>
          <cell r="F461">
            <v>0.88270000000000004</v>
          </cell>
          <cell r="G461">
            <v>0.99409999999999998</v>
          </cell>
          <cell r="H461">
            <v>0.79120000000000001</v>
          </cell>
        </row>
        <row r="462">
          <cell r="B462" t="str">
            <v>Thera Kostaneski</v>
          </cell>
          <cell r="C462">
            <v>2433</v>
          </cell>
          <cell r="D462">
            <v>0.871</v>
          </cell>
          <cell r="E462">
            <v>0.69930000000000003</v>
          </cell>
          <cell r="F462">
            <v>0.90010000000000001</v>
          </cell>
          <cell r="G462">
            <v>0.98340000000000005</v>
          </cell>
          <cell r="H462">
            <v>0.83940000000000003</v>
          </cell>
        </row>
        <row r="463">
          <cell r="B463" t="str">
            <v>Jazmine Smith</v>
          </cell>
          <cell r="C463">
            <v>2431</v>
          </cell>
          <cell r="D463">
            <v>0.82820000000000005</v>
          </cell>
          <cell r="E463">
            <v>0.65680000000000005</v>
          </cell>
          <cell r="F463">
            <v>0.86560000000000004</v>
          </cell>
          <cell r="G463">
            <v>0.99660000000000004</v>
          </cell>
          <cell r="H463">
            <v>0.80489999999999995</v>
          </cell>
        </row>
        <row r="464">
          <cell r="B464" t="str">
            <v>Jayden Sluss</v>
          </cell>
          <cell r="C464">
            <v>2429</v>
          </cell>
          <cell r="D464">
            <v>0.92259999999999998</v>
          </cell>
          <cell r="E464">
            <v>0.69779999999999998</v>
          </cell>
          <cell r="F464">
            <v>0.87470000000000003</v>
          </cell>
          <cell r="G464">
            <v>0.98980000000000001</v>
          </cell>
          <cell r="H464">
            <v>0.84750000000000003</v>
          </cell>
        </row>
        <row r="465">
          <cell r="B465" t="str">
            <v>Alphonso Harvey</v>
          </cell>
          <cell r="C465">
            <v>2428</v>
          </cell>
          <cell r="D465">
            <v>0.8417</v>
          </cell>
          <cell r="E465">
            <v>0.6956</v>
          </cell>
          <cell r="F465">
            <v>0.878</v>
          </cell>
          <cell r="G465">
            <v>0.99480000000000002</v>
          </cell>
          <cell r="H465">
            <v>0.82410000000000005</v>
          </cell>
        </row>
        <row r="466">
          <cell r="B466" t="str">
            <v>Ariel Stewart</v>
          </cell>
          <cell r="C466">
            <v>2428</v>
          </cell>
          <cell r="D466">
            <v>0.84850000000000003</v>
          </cell>
          <cell r="E466">
            <v>0.64149999999999996</v>
          </cell>
          <cell r="F466">
            <v>0.87250000000000005</v>
          </cell>
          <cell r="G466">
            <v>0.98650000000000004</v>
          </cell>
          <cell r="H466">
            <v>0.80740000000000001</v>
          </cell>
        </row>
        <row r="467">
          <cell r="B467" t="str">
            <v>Gabriel Cordova</v>
          </cell>
          <cell r="C467">
            <v>2426</v>
          </cell>
          <cell r="D467">
            <v>0.82320000000000004</v>
          </cell>
          <cell r="E467">
            <v>0.72050000000000003</v>
          </cell>
          <cell r="F467">
            <v>0.85840000000000005</v>
          </cell>
          <cell r="G467">
            <v>0.99339999999999995</v>
          </cell>
          <cell r="H467">
            <v>0.82</v>
          </cell>
        </row>
        <row r="468">
          <cell r="B468" t="str">
            <v>Johnna Deason</v>
          </cell>
          <cell r="C468">
            <v>2424</v>
          </cell>
          <cell r="D468">
            <v>0.70189999999999997</v>
          </cell>
          <cell r="E468">
            <v>0.67969999999999997</v>
          </cell>
          <cell r="F468">
            <v>0.82650000000000001</v>
          </cell>
          <cell r="G468">
            <v>0.99350000000000005</v>
          </cell>
          <cell r="H468">
            <v>0.76180000000000003</v>
          </cell>
        </row>
        <row r="469">
          <cell r="B469" t="str">
            <v>Ines Wright</v>
          </cell>
          <cell r="C469">
            <v>2424</v>
          </cell>
          <cell r="D469">
            <v>0.4093</v>
          </cell>
          <cell r="E469">
            <v>0.6764</v>
          </cell>
          <cell r="F469">
            <v>0.77980000000000005</v>
          </cell>
          <cell r="G469">
            <v>0.97689999999999999</v>
          </cell>
          <cell r="H469">
            <v>0.6573</v>
          </cell>
        </row>
        <row r="470">
          <cell r="B470" t="str">
            <v>Shaniqua Edmonds</v>
          </cell>
          <cell r="C470">
            <v>2423</v>
          </cell>
          <cell r="D470">
            <v>0.95750000000000002</v>
          </cell>
          <cell r="E470">
            <v>0.68230000000000002</v>
          </cell>
          <cell r="F470">
            <v>0.91120000000000001</v>
          </cell>
          <cell r="G470">
            <v>0.98519999999999996</v>
          </cell>
          <cell r="H470">
            <v>0.86380000000000001</v>
          </cell>
        </row>
        <row r="471">
          <cell r="B471" t="str">
            <v>Keiyondre Lester</v>
          </cell>
          <cell r="C471">
            <v>2419</v>
          </cell>
          <cell r="D471">
            <v>0.76959999999999995</v>
          </cell>
          <cell r="E471">
            <v>0.66820000000000002</v>
          </cell>
          <cell r="F471">
            <v>0.80859999999999999</v>
          </cell>
          <cell r="G471">
            <v>0.98819999999999997</v>
          </cell>
          <cell r="H471">
            <v>0.77280000000000004</v>
          </cell>
        </row>
        <row r="472">
          <cell r="B472" t="str">
            <v>Ashley Moody</v>
          </cell>
          <cell r="C472">
            <v>2418</v>
          </cell>
          <cell r="D472">
            <v>0.89080000000000004</v>
          </cell>
          <cell r="E472">
            <v>0.68010000000000004</v>
          </cell>
          <cell r="F472">
            <v>0.9133</v>
          </cell>
          <cell r="G472">
            <v>0.99329999999999996</v>
          </cell>
          <cell r="H472">
            <v>0.84460000000000002</v>
          </cell>
        </row>
        <row r="473">
          <cell r="B473" t="str">
            <v>Trey Wilson</v>
          </cell>
          <cell r="C473">
            <v>2418</v>
          </cell>
          <cell r="D473">
            <v>0.94650000000000001</v>
          </cell>
          <cell r="E473">
            <v>0.69820000000000004</v>
          </cell>
          <cell r="F473">
            <v>0.84599999999999997</v>
          </cell>
          <cell r="G473">
            <v>0.9929</v>
          </cell>
          <cell r="H473">
            <v>0.84650000000000003</v>
          </cell>
        </row>
        <row r="474">
          <cell r="B474" t="str">
            <v>Felecia White</v>
          </cell>
          <cell r="C474">
            <v>2415</v>
          </cell>
          <cell r="D474">
            <v>0.79820000000000002</v>
          </cell>
          <cell r="E474">
            <v>0.64319999999999999</v>
          </cell>
          <cell r="F474">
            <v>0.90559999999999996</v>
          </cell>
          <cell r="G474">
            <v>0.997</v>
          </cell>
          <cell r="H474">
            <v>0.80379999999999996</v>
          </cell>
        </row>
        <row r="475">
          <cell r="B475" t="str">
            <v>Gary Johnson</v>
          </cell>
          <cell r="C475">
            <v>2412</v>
          </cell>
          <cell r="D475">
            <v>0.69599999999999995</v>
          </cell>
          <cell r="E475">
            <v>0.61760000000000004</v>
          </cell>
          <cell r="F475">
            <v>0.79369999999999996</v>
          </cell>
          <cell r="G475">
            <v>0.98460000000000003</v>
          </cell>
          <cell r="H475">
            <v>0.73070000000000002</v>
          </cell>
        </row>
        <row r="476">
          <cell r="B476" t="str">
            <v>Nikki Kirby</v>
          </cell>
          <cell r="C476">
            <v>2412</v>
          </cell>
          <cell r="D476">
            <v>0.90849999999999997</v>
          </cell>
          <cell r="E476">
            <v>0.70140000000000002</v>
          </cell>
          <cell r="F476">
            <v>0.9123</v>
          </cell>
          <cell r="G476">
            <v>0.99129999999999996</v>
          </cell>
          <cell r="H476">
            <v>0.85580000000000001</v>
          </cell>
        </row>
        <row r="477">
          <cell r="B477" t="str">
            <v>Crystal Herrera</v>
          </cell>
          <cell r="C477">
            <v>2412</v>
          </cell>
          <cell r="D477">
            <v>0.7722</v>
          </cell>
          <cell r="E477">
            <v>0.68940000000000001</v>
          </cell>
          <cell r="F477">
            <v>0.87209999999999999</v>
          </cell>
          <cell r="G477">
            <v>0.98299999999999998</v>
          </cell>
          <cell r="H477">
            <v>0.7984</v>
          </cell>
        </row>
        <row r="478">
          <cell r="B478" t="str">
            <v>Jefferson Benjamin</v>
          </cell>
          <cell r="C478">
            <v>2411</v>
          </cell>
          <cell r="D478">
            <v>0.88790000000000002</v>
          </cell>
          <cell r="E478">
            <v>0.69879999999999998</v>
          </cell>
          <cell r="F478">
            <v>0.78939999999999999</v>
          </cell>
          <cell r="G478">
            <v>0.99239999999999995</v>
          </cell>
          <cell r="H478">
            <v>0.81210000000000004</v>
          </cell>
        </row>
        <row r="479">
          <cell r="B479" t="str">
            <v>Lauren Roberts</v>
          </cell>
          <cell r="C479">
            <v>2409</v>
          </cell>
          <cell r="D479">
            <v>0.77510000000000001</v>
          </cell>
          <cell r="E479">
            <v>0.6764</v>
          </cell>
          <cell r="F479">
            <v>0.87549999999999994</v>
          </cell>
          <cell r="G479">
            <v>0.99360000000000004</v>
          </cell>
          <cell r="H479">
            <v>0.79749999999999999</v>
          </cell>
        </row>
        <row r="480">
          <cell r="B480" t="str">
            <v>Heather Lacuran</v>
          </cell>
          <cell r="C480">
            <v>2408</v>
          </cell>
          <cell r="D480">
            <v>0.87329999999999997</v>
          </cell>
          <cell r="E480">
            <v>0.6714</v>
          </cell>
          <cell r="F480">
            <v>0.89980000000000004</v>
          </cell>
          <cell r="G480">
            <v>0.98709999999999998</v>
          </cell>
          <cell r="H480">
            <v>0.83209999999999995</v>
          </cell>
        </row>
        <row r="481">
          <cell r="B481" t="str">
            <v>Tacora Horsley</v>
          </cell>
          <cell r="C481">
            <v>2407</v>
          </cell>
          <cell r="D481">
            <v>0.90429999999999999</v>
          </cell>
          <cell r="E481">
            <v>0.68310000000000004</v>
          </cell>
          <cell r="F481">
            <v>0.88470000000000004</v>
          </cell>
          <cell r="G481">
            <v>0.99309999999999998</v>
          </cell>
          <cell r="H481">
            <v>0.84089999999999998</v>
          </cell>
        </row>
        <row r="482">
          <cell r="B482" t="str">
            <v>Viridiana Ramirez</v>
          </cell>
          <cell r="C482">
            <v>2407</v>
          </cell>
          <cell r="D482">
            <v>0.82369999999999999</v>
          </cell>
          <cell r="E482">
            <v>0.69889999999999997</v>
          </cell>
          <cell r="F482">
            <v>0.82909999999999995</v>
          </cell>
          <cell r="G482">
            <v>0.99039999999999995</v>
          </cell>
          <cell r="H482">
            <v>0.80459999999999998</v>
          </cell>
        </row>
        <row r="483">
          <cell r="B483" t="str">
            <v>Tamara Dahl</v>
          </cell>
          <cell r="C483">
            <v>2406</v>
          </cell>
          <cell r="D483">
            <v>0.9234</v>
          </cell>
          <cell r="E483">
            <v>0.6391</v>
          </cell>
          <cell r="F483">
            <v>0.87</v>
          </cell>
          <cell r="G483">
            <v>0.98880000000000001</v>
          </cell>
          <cell r="H483">
            <v>0.8286</v>
          </cell>
        </row>
        <row r="484">
          <cell r="B484" t="str">
            <v>Amanda Reicks</v>
          </cell>
          <cell r="C484">
            <v>2406</v>
          </cell>
          <cell r="D484">
            <v>0.83450000000000002</v>
          </cell>
          <cell r="E484">
            <v>0.6694</v>
          </cell>
          <cell r="F484">
            <v>0.93310000000000004</v>
          </cell>
          <cell r="G484">
            <v>0.99670000000000003</v>
          </cell>
          <cell r="H484">
            <v>0.83079999999999998</v>
          </cell>
        </row>
        <row r="485">
          <cell r="B485" t="str">
            <v>Trevor Boyd</v>
          </cell>
          <cell r="C485">
            <v>2406</v>
          </cell>
          <cell r="D485">
            <v>0.90449999999999997</v>
          </cell>
          <cell r="E485">
            <v>0.70609999999999995</v>
          </cell>
          <cell r="F485">
            <v>0.91720000000000002</v>
          </cell>
          <cell r="G485">
            <v>0.99609999999999999</v>
          </cell>
          <cell r="H485">
            <v>0.8579</v>
          </cell>
        </row>
        <row r="486">
          <cell r="B486" t="str">
            <v>Michelle Knag</v>
          </cell>
          <cell r="C486">
            <v>2405</v>
          </cell>
          <cell r="D486">
            <v>0.95230000000000004</v>
          </cell>
          <cell r="E486">
            <v>0.67930000000000001</v>
          </cell>
          <cell r="F486">
            <v>0.92210000000000003</v>
          </cell>
          <cell r="G486">
            <v>0.99690000000000001</v>
          </cell>
          <cell r="H486">
            <v>0.86580000000000001</v>
          </cell>
        </row>
        <row r="487">
          <cell r="B487" t="str">
            <v>Jennifer Parks</v>
          </cell>
          <cell r="C487">
            <v>2402</v>
          </cell>
          <cell r="D487">
            <v>0.95169999999999999</v>
          </cell>
          <cell r="E487">
            <v>0.68920000000000003</v>
          </cell>
          <cell r="F487">
            <v>0.87180000000000002</v>
          </cell>
          <cell r="G487">
            <v>0.99629999999999996</v>
          </cell>
          <cell r="H487">
            <v>0.85340000000000005</v>
          </cell>
        </row>
        <row r="488">
          <cell r="B488" t="str">
            <v>Marquita Gillespie</v>
          </cell>
          <cell r="C488">
            <v>2402</v>
          </cell>
          <cell r="D488">
            <v>0.89449999999999996</v>
          </cell>
          <cell r="E488">
            <v>0.65839999999999999</v>
          </cell>
          <cell r="F488">
            <v>0.87209999999999999</v>
          </cell>
          <cell r="G488">
            <v>0.98019999999999996</v>
          </cell>
          <cell r="H488">
            <v>0.82550000000000001</v>
          </cell>
        </row>
        <row r="489">
          <cell r="B489" t="str">
            <v>Trey McAulay</v>
          </cell>
          <cell r="C489">
            <v>2402</v>
          </cell>
          <cell r="D489">
            <v>0.91400000000000003</v>
          </cell>
          <cell r="E489">
            <v>0.66879999999999995</v>
          </cell>
          <cell r="F489">
            <v>0.91290000000000004</v>
          </cell>
          <cell r="G489">
            <v>0.98740000000000006</v>
          </cell>
          <cell r="H489">
            <v>0.84740000000000004</v>
          </cell>
        </row>
        <row r="490">
          <cell r="B490" t="str">
            <v>Shamika Harrison</v>
          </cell>
          <cell r="C490">
            <v>2401</v>
          </cell>
          <cell r="D490">
            <v>0.75529999999999997</v>
          </cell>
          <cell r="E490">
            <v>0.67069999999999996</v>
          </cell>
          <cell r="F490">
            <v>0.86550000000000005</v>
          </cell>
          <cell r="G490">
            <v>0.99329999999999996</v>
          </cell>
          <cell r="H490">
            <v>0.78680000000000005</v>
          </cell>
        </row>
        <row r="491">
          <cell r="B491" t="str">
            <v>Adara Crow</v>
          </cell>
          <cell r="C491">
            <v>2401</v>
          </cell>
          <cell r="D491">
            <v>0.85960000000000003</v>
          </cell>
          <cell r="E491">
            <v>0.66459999999999997</v>
          </cell>
          <cell r="F491">
            <v>0.80220000000000002</v>
          </cell>
          <cell r="G491">
            <v>0.99229999999999996</v>
          </cell>
          <cell r="H491">
            <v>0.79720000000000002</v>
          </cell>
        </row>
        <row r="492">
          <cell r="B492" t="str">
            <v>Christine Ivy</v>
          </cell>
          <cell r="C492">
            <v>2400</v>
          </cell>
          <cell r="D492">
            <v>0.75649999999999995</v>
          </cell>
          <cell r="E492">
            <v>0.68820000000000003</v>
          </cell>
          <cell r="F492">
            <v>0.89059999999999995</v>
          </cell>
          <cell r="G492">
            <v>0.98460000000000003</v>
          </cell>
          <cell r="H492">
            <v>0.79910000000000003</v>
          </cell>
        </row>
        <row r="493">
          <cell r="B493" t="str">
            <v>Perry Young</v>
          </cell>
          <cell r="C493">
            <v>2398</v>
          </cell>
          <cell r="D493">
            <v>0.81910000000000005</v>
          </cell>
          <cell r="E493">
            <v>0.70730000000000004</v>
          </cell>
          <cell r="F493">
            <v>0.90680000000000005</v>
          </cell>
          <cell r="G493">
            <v>0.99590000000000001</v>
          </cell>
          <cell r="H493">
            <v>0.82950000000000002</v>
          </cell>
        </row>
        <row r="494">
          <cell r="B494" t="str">
            <v>Angela Alexander</v>
          </cell>
          <cell r="C494">
            <v>2397</v>
          </cell>
          <cell r="D494">
            <v>0.90700000000000003</v>
          </cell>
          <cell r="E494">
            <v>0.70240000000000002</v>
          </cell>
          <cell r="F494">
            <v>0.88480000000000003</v>
          </cell>
          <cell r="G494">
            <v>0.98580000000000001</v>
          </cell>
          <cell r="H494">
            <v>0.8468</v>
          </cell>
        </row>
        <row r="495">
          <cell r="B495" t="str">
            <v>Steven Booker</v>
          </cell>
          <cell r="C495">
            <v>2395</v>
          </cell>
          <cell r="D495">
            <v>0.88100000000000001</v>
          </cell>
          <cell r="E495">
            <v>0.68959999999999999</v>
          </cell>
          <cell r="F495">
            <v>0.85240000000000005</v>
          </cell>
          <cell r="G495">
            <v>0.99360000000000004</v>
          </cell>
          <cell r="H495">
            <v>0.82630000000000003</v>
          </cell>
        </row>
        <row r="496">
          <cell r="B496" t="str">
            <v>Denise Ibarra</v>
          </cell>
          <cell r="C496">
            <v>2393</v>
          </cell>
          <cell r="D496">
            <v>0.73919999999999997</v>
          </cell>
          <cell r="E496">
            <v>0.66649999999999998</v>
          </cell>
          <cell r="F496">
            <v>0.85450000000000004</v>
          </cell>
          <cell r="G496">
            <v>0.99080000000000001</v>
          </cell>
          <cell r="H496">
            <v>0.7772</v>
          </cell>
        </row>
        <row r="497">
          <cell r="B497" t="str">
            <v>William Stadler</v>
          </cell>
          <cell r="C497">
            <v>2389</v>
          </cell>
          <cell r="D497">
            <v>0.90600000000000003</v>
          </cell>
          <cell r="E497">
            <v>0.69199999999999995</v>
          </cell>
          <cell r="F497">
            <v>0.83520000000000005</v>
          </cell>
          <cell r="G497">
            <v>0.99450000000000005</v>
          </cell>
          <cell r="H497">
            <v>0.82940000000000003</v>
          </cell>
        </row>
        <row r="498">
          <cell r="B498" t="str">
            <v>Kifani Ballard</v>
          </cell>
          <cell r="C498">
            <v>2387</v>
          </cell>
          <cell r="D498">
            <v>0.81979999999999997</v>
          </cell>
          <cell r="E498">
            <v>0.68210000000000004</v>
          </cell>
          <cell r="F498">
            <v>0.84509999999999996</v>
          </cell>
          <cell r="G498">
            <v>0.99029999999999996</v>
          </cell>
          <cell r="H498">
            <v>0.80310000000000004</v>
          </cell>
        </row>
        <row r="499">
          <cell r="B499" t="str">
            <v>Vincent Gradillas</v>
          </cell>
          <cell r="C499">
            <v>2387</v>
          </cell>
          <cell r="D499">
            <v>0.93400000000000005</v>
          </cell>
          <cell r="E499">
            <v>0.68520000000000003</v>
          </cell>
          <cell r="F499">
            <v>0.91890000000000005</v>
          </cell>
          <cell r="G499">
            <v>0.99450000000000005</v>
          </cell>
          <cell r="H499">
            <v>0.8609</v>
          </cell>
        </row>
        <row r="500">
          <cell r="B500" t="str">
            <v>Renee Davis</v>
          </cell>
          <cell r="C500">
            <v>2387</v>
          </cell>
          <cell r="D500">
            <v>0.95420000000000005</v>
          </cell>
          <cell r="E500">
            <v>0.72419999999999995</v>
          </cell>
          <cell r="F500">
            <v>0.92759999999999998</v>
          </cell>
          <cell r="G500">
            <v>0.99329999999999996</v>
          </cell>
          <cell r="H500">
            <v>0.88109999999999999</v>
          </cell>
        </row>
        <row r="501">
          <cell r="B501" t="str">
            <v>Sophia Kirkland</v>
          </cell>
          <cell r="C501">
            <v>2386</v>
          </cell>
          <cell r="D501">
            <v>0.95020000000000004</v>
          </cell>
          <cell r="E501">
            <v>0.70530000000000004</v>
          </cell>
          <cell r="F501">
            <v>0.93410000000000004</v>
          </cell>
          <cell r="G501">
            <v>0.9829</v>
          </cell>
          <cell r="H501">
            <v>0.87519999999999998</v>
          </cell>
        </row>
        <row r="502">
          <cell r="B502" t="str">
            <v>Juneicia Williams</v>
          </cell>
          <cell r="C502">
            <v>2384</v>
          </cell>
          <cell r="D502">
            <v>0.95520000000000005</v>
          </cell>
          <cell r="E502">
            <v>0.71609999999999996</v>
          </cell>
          <cell r="F502">
            <v>0.89839999999999998</v>
          </cell>
          <cell r="G502">
            <v>0.98680000000000001</v>
          </cell>
          <cell r="H502">
            <v>0.86960000000000004</v>
          </cell>
        </row>
        <row r="503">
          <cell r="B503" t="str">
            <v>Mareshah Springer</v>
          </cell>
          <cell r="C503">
            <v>2382</v>
          </cell>
          <cell r="D503">
            <v>0.95809999999999995</v>
          </cell>
          <cell r="E503">
            <v>0.73280000000000001</v>
          </cell>
          <cell r="F503">
            <v>0.93340000000000001</v>
          </cell>
          <cell r="G503">
            <v>0.99619999999999997</v>
          </cell>
          <cell r="H503">
            <v>0.88690000000000002</v>
          </cell>
        </row>
        <row r="504">
          <cell r="B504" t="str">
            <v>Krystal Brantley</v>
          </cell>
          <cell r="C504">
            <v>2382</v>
          </cell>
          <cell r="D504">
            <v>0.8508</v>
          </cell>
          <cell r="E504">
            <v>0.63360000000000005</v>
          </cell>
          <cell r="F504">
            <v>0.90249999999999997</v>
          </cell>
          <cell r="G504">
            <v>0.9909</v>
          </cell>
          <cell r="H504">
            <v>0.81520000000000004</v>
          </cell>
        </row>
        <row r="505">
          <cell r="B505" t="str">
            <v>Ana Vazquez Teran</v>
          </cell>
          <cell r="C505">
            <v>2381</v>
          </cell>
          <cell r="D505">
            <v>0.31790000000000002</v>
          </cell>
          <cell r="E505">
            <v>0.59399999999999997</v>
          </cell>
          <cell r="F505">
            <v>0.80269999999999997</v>
          </cell>
          <cell r="G505">
            <v>0.98750000000000004</v>
          </cell>
          <cell r="H505">
            <v>0.61309999999999998</v>
          </cell>
        </row>
        <row r="506">
          <cell r="B506" t="str">
            <v>Kimberly Kirkland</v>
          </cell>
          <cell r="C506">
            <v>2380</v>
          </cell>
          <cell r="D506">
            <v>0.9103</v>
          </cell>
          <cell r="E506">
            <v>0.72540000000000004</v>
          </cell>
          <cell r="F506">
            <v>0.92559999999999998</v>
          </cell>
          <cell r="G506">
            <v>0.99399999999999999</v>
          </cell>
          <cell r="H506">
            <v>0.86780000000000002</v>
          </cell>
        </row>
        <row r="507">
          <cell r="B507" t="str">
            <v>Jaipree Madison</v>
          </cell>
          <cell r="C507">
            <v>2378</v>
          </cell>
          <cell r="D507">
            <v>0.89</v>
          </cell>
          <cell r="E507">
            <v>0.70309999999999995</v>
          </cell>
          <cell r="F507">
            <v>0.91300000000000003</v>
          </cell>
          <cell r="G507">
            <v>0.99419999999999997</v>
          </cell>
          <cell r="H507">
            <v>0.85119999999999996</v>
          </cell>
        </row>
        <row r="508">
          <cell r="B508" t="str">
            <v>Shantika Sanders</v>
          </cell>
          <cell r="C508">
            <v>2374</v>
          </cell>
          <cell r="D508">
            <v>0.95630000000000004</v>
          </cell>
          <cell r="E508">
            <v>0.66920000000000002</v>
          </cell>
          <cell r="F508">
            <v>0.88500000000000001</v>
          </cell>
          <cell r="G508">
            <v>0.99790000000000001</v>
          </cell>
          <cell r="H508">
            <v>0.85289999999999999</v>
          </cell>
        </row>
        <row r="509">
          <cell r="B509" t="str">
            <v>Valerie Montano</v>
          </cell>
          <cell r="C509">
            <v>2370</v>
          </cell>
          <cell r="D509">
            <v>0.85499999999999998</v>
          </cell>
          <cell r="E509">
            <v>0.65639999999999998</v>
          </cell>
          <cell r="F509">
            <v>0.8931</v>
          </cell>
          <cell r="G509">
            <v>0.99460000000000004</v>
          </cell>
          <cell r="H509">
            <v>0.82079999999999997</v>
          </cell>
        </row>
        <row r="510">
          <cell r="B510" t="str">
            <v>Shaniqua Long</v>
          </cell>
          <cell r="C510">
            <v>2370</v>
          </cell>
          <cell r="D510">
            <v>0.86750000000000005</v>
          </cell>
          <cell r="E510">
            <v>0.69499999999999995</v>
          </cell>
          <cell r="F510">
            <v>0.92889999999999995</v>
          </cell>
          <cell r="G510">
            <v>0.99560000000000004</v>
          </cell>
          <cell r="H510">
            <v>0.84699999999999998</v>
          </cell>
        </row>
        <row r="511">
          <cell r="B511" t="str">
            <v>Aaliyah Cherenfant</v>
          </cell>
          <cell r="C511">
            <v>2366</v>
          </cell>
          <cell r="D511">
            <v>0.90449999999999997</v>
          </cell>
          <cell r="E511">
            <v>0.68359999999999999</v>
          </cell>
          <cell r="F511">
            <v>0.90939999999999999</v>
          </cell>
          <cell r="G511">
            <v>0.99360000000000004</v>
          </cell>
          <cell r="H511">
            <v>0.84860000000000002</v>
          </cell>
        </row>
        <row r="512">
          <cell r="B512" t="str">
            <v>Quintilla Wallace</v>
          </cell>
          <cell r="C512">
            <v>2362</v>
          </cell>
          <cell r="D512">
            <v>0.92869999999999997</v>
          </cell>
          <cell r="E512">
            <v>0.71009999999999995</v>
          </cell>
          <cell r="F512">
            <v>0.93030000000000002</v>
          </cell>
          <cell r="G512">
            <v>0.99660000000000004</v>
          </cell>
          <cell r="H512">
            <v>0.87039999999999995</v>
          </cell>
        </row>
        <row r="513">
          <cell r="B513" t="str">
            <v>Robert Sermeno</v>
          </cell>
          <cell r="C513">
            <v>2361</v>
          </cell>
          <cell r="D513">
            <v>0.89149999999999996</v>
          </cell>
          <cell r="E513">
            <v>0.69720000000000004</v>
          </cell>
          <cell r="F513">
            <v>0.91449999999999998</v>
          </cell>
          <cell r="G513">
            <v>0.99329999999999996</v>
          </cell>
          <cell r="H513">
            <v>0.85029999999999994</v>
          </cell>
        </row>
        <row r="514">
          <cell r="B514" t="str">
            <v>Caleb Sleet</v>
          </cell>
          <cell r="C514">
            <v>2360</v>
          </cell>
          <cell r="D514">
            <v>0.79320000000000002</v>
          </cell>
          <cell r="E514">
            <v>0.61529999999999996</v>
          </cell>
          <cell r="F514">
            <v>0.9194</v>
          </cell>
          <cell r="G514">
            <v>0.99770000000000003</v>
          </cell>
          <cell r="H514">
            <v>0.79810000000000003</v>
          </cell>
        </row>
        <row r="515">
          <cell r="B515" t="str">
            <v>Jeremy Garcia-Garcia</v>
          </cell>
          <cell r="C515">
            <v>2359</v>
          </cell>
          <cell r="D515">
            <v>0.90939999999999999</v>
          </cell>
          <cell r="E515">
            <v>0.68440000000000001</v>
          </cell>
          <cell r="F515">
            <v>0.91180000000000005</v>
          </cell>
          <cell r="G515">
            <v>0.99170000000000003</v>
          </cell>
          <cell r="H515">
            <v>0.85089999999999999</v>
          </cell>
        </row>
        <row r="516">
          <cell r="B516" t="str">
            <v>Kristy Perez</v>
          </cell>
          <cell r="C516">
            <v>2357</v>
          </cell>
          <cell r="D516">
            <v>0.30499999999999999</v>
          </cell>
          <cell r="E516">
            <v>0.65469999999999995</v>
          </cell>
          <cell r="F516">
            <v>0.77190000000000003</v>
          </cell>
          <cell r="G516">
            <v>0.98089999999999999</v>
          </cell>
          <cell r="H516">
            <v>0.61760000000000004</v>
          </cell>
        </row>
        <row r="517">
          <cell r="B517" t="str">
            <v>Gloria Alvarado</v>
          </cell>
          <cell r="C517">
            <v>2357</v>
          </cell>
          <cell r="D517">
            <v>0.30399999999999999</v>
          </cell>
          <cell r="E517">
            <v>0.64710000000000001</v>
          </cell>
          <cell r="F517">
            <v>0.71289999999999998</v>
          </cell>
          <cell r="G517">
            <v>0.97960000000000003</v>
          </cell>
          <cell r="H517">
            <v>0.59719999999999995</v>
          </cell>
        </row>
        <row r="518">
          <cell r="B518" t="str">
            <v>Veronica Payne</v>
          </cell>
          <cell r="C518">
            <v>2355</v>
          </cell>
          <cell r="D518">
            <v>0.83260000000000001</v>
          </cell>
          <cell r="E518">
            <v>0.67969999999999997</v>
          </cell>
          <cell r="F518">
            <v>0.85629999999999995</v>
          </cell>
          <cell r="G518">
            <v>0.99</v>
          </cell>
          <cell r="H518">
            <v>0.80959999999999999</v>
          </cell>
        </row>
        <row r="519">
          <cell r="B519" t="str">
            <v>Alisha Padron</v>
          </cell>
          <cell r="C519">
            <v>2354</v>
          </cell>
          <cell r="D519">
            <v>0.98040000000000005</v>
          </cell>
          <cell r="E519">
            <v>0.75639999999999996</v>
          </cell>
          <cell r="F519">
            <v>0.91790000000000005</v>
          </cell>
          <cell r="G519">
            <v>0.98909999999999998</v>
          </cell>
          <cell r="H519">
            <v>0.89529999999999998</v>
          </cell>
        </row>
        <row r="520">
          <cell r="B520" t="str">
            <v>Diana Gonzalez</v>
          </cell>
          <cell r="C520">
            <v>2353</v>
          </cell>
          <cell r="D520">
            <v>0.88829999999999998</v>
          </cell>
          <cell r="E520">
            <v>0.65920000000000001</v>
          </cell>
          <cell r="F520">
            <v>0.91259999999999997</v>
          </cell>
          <cell r="G520">
            <v>0.98409999999999997</v>
          </cell>
          <cell r="H520">
            <v>0.83640000000000003</v>
          </cell>
        </row>
        <row r="521">
          <cell r="B521" t="str">
            <v>Maria Villarreal</v>
          </cell>
          <cell r="C521">
            <v>2350</v>
          </cell>
          <cell r="D521">
            <v>0.95940000000000003</v>
          </cell>
          <cell r="E521">
            <v>0.7268</v>
          </cell>
          <cell r="F521">
            <v>0.92500000000000004</v>
          </cell>
          <cell r="G521">
            <v>0.99729999999999996</v>
          </cell>
          <cell r="H521">
            <v>0.8831</v>
          </cell>
        </row>
        <row r="522">
          <cell r="B522" t="str">
            <v>Nidia Martinez</v>
          </cell>
          <cell r="C522">
            <v>2349</v>
          </cell>
          <cell r="D522">
            <v>0.88959999999999995</v>
          </cell>
          <cell r="E522">
            <v>0.72629999999999995</v>
          </cell>
          <cell r="F522">
            <v>0.89559999999999995</v>
          </cell>
          <cell r="G522">
            <v>0.99390000000000001</v>
          </cell>
          <cell r="H522">
            <v>0.8528</v>
          </cell>
        </row>
        <row r="523">
          <cell r="B523" t="str">
            <v>Nakeisha Davis</v>
          </cell>
          <cell r="C523">
            <v>2348</v>
          </cell>
          <cell r="D523">
            <v>0.84179999999999999</v>
          </cell>
          <cell r="E523">
            <v>0.66959999999999997</v>
          </cell>
          <cell r="F523">
            <v>0.87639999999999996</v>
          </cell>
          <cell r="G523">
            <v>0.99319999999999997</v>
          </cell>
          <cell r="H523">
            <v>0.81559999999999999</v>
          </cell>
        </row>
        <row r="524">
          <cell r="B524" t="str">
            <v>Justin Neal</v>
          </cell>
          <cell r="C524">
            <v>2348</v>
          </cell>
          <cell r="D524">
            <v>0.75449999999999995</v>
          </cell>
          <cell r="E524">
            <v>0.66249999999999998</v>
          </cell>
          <cell r="F524">
            <v>0.87329999999999997</v>
          </cell>
          <cell r="G524">
            <v>0.99390000000000001</v>
          </cell>
          <cell r="H524">
            <v>0.78649999999999998</v>
          </cell>
        </row>
        <row r="525">
          <cell r="B525" t="str">
            <v>Juanita Royster</v>
          </cell>
          <cell r="C525">
            <v>2348</v>
          </cell>
          <cell r="D525">
            <v>0.78200000000000003</v>
          </cell>
          <cell r="E525">
            <v>0.68640000000000001</v>
          </cell>
          <cell r="F525">
            <v>0.87619999999999998</v>
          </cell>
          <cell r="G525">
            <v>0.99099999999999999</v>
          </cell>
          <cell r="H525">
            <v>0.80249999999999999</v>
          </cell>
        </row>
        <row r="526">
          <cell r="B526" t="str">
            <v>Jane Buschmann</v>
          </cell>
          <cell r="C526">
            <v>2346</v>
          </cell>
          <cell r="D526">
            <v>0.84040000000000004</v>
          </cell>
          <cell r="E526">
            <v>0.68079999999999996</v>
          </cell>
          <cell r="F526">
            <v>0.8538</v>
          </cell>
          <cell r="G526">
            <v>0.98229999999999995</v>
          </cell>
          <cell r="H526">
            <v>0.81069999999999998</v>
          </cell>
        </row>
        <row r="527">
          <cell r="B527" t="str">
            <v>Brooklyn Hudgins</v>
          </cell>
          <cell r="C527">
            <v>2345</v>
          </cell>
          <cell r="D527">
            <v>0.85460000000000003</v>
          </cell>
          <cell r="E527">
            <v>0.77149999999999996</v>
          </cell>
          <cell r="F527">
            <v>0.87639999999999996</v>
          </cell>
          <cell r="G527">
            <v>0.99470000000000003</v>
          </cell>
          <cell r="H527">
            <v>0.85019999999999996</v>
          </cell>
        </row>
        <row r="528">
          <cell r="B528" t="str">
            <v>Jessica Benefiel</v>
          </cell>
          <cell r="C528">
            <v>2345</v>
          </cell>
          <cell r="D528">
            <v>0.83809999999999996</v>
          </cell>
          <cell r="E528">
            <v>0.72860000000000003</v>
          </cell>
          <cell r="F528">
            <v>0.90229999999999999</v>
          </cell>
          <cell r="G528">
            <v>0.99709999999999999</v>
          </cell>
          <cell r="H528">
            <v>0.84040000000000004</v>
          </cell>
        </row>
        <row r="529">
          <cell r="B529" t="str">
            <v>Ciara Towns</v>
          </cell>
          <cell r="C529">
            <v>2344</v>
          </cell>
          <cell r="D529">
            <v>0.91849999999999998</v>
          </cell>
          <cell r="E529">
            <v>0.67320000000000002</v>
          </cell>
          <cell r="F529">
            <v>0.89780000000000004</v>
          </cell>
          <cell r="G529">
            <v>0.99299999999999999</v>
          </cell>
          <cell r="H529">
            <v>0.84619999999999995</v>
          </cell>
        </row>
        <row r="530">
          <cell r="B530" t="str">
            <v>Israel Rocha</v>
          </cell>
          <cell r="C530">
            <v>2340</v>
          </cell>
          <cell r="D530">
            <v>0.3044</v>
          </cell>
          <cell r="E530">
            <v>0.63280000000000003</v>
          </cell>
          <cell r="F530">
            <v>0.72</v>
          </cell>
          <cell r="G530">
            <v>0.98499999999999999</v>
          </cell>
          <cell r="H530">
            <v>0.59570000000000001</v>
          </cell>
        </row>
        <row r="531">
          <cell r="B531" t="str">
            <v>David Gallardo</v>
          </cell>
          <cell r="C531">
            <v>2340</v>
          </cell>
          <cell r="D531">
            <v>0.83340000000000003</v>
          </cell>
          <cell r="E531">
            <v>0.72450000000000003</v>
          </cell>
          <cell r="F531">
            <v>0.83560000000000001</v>
          </cell>
          <cell r="G531">
            <v>0.98460000000000003</v>
          </cell>
          <cell r="H531">
            <v>0.8165</v>
          </cell>
        </row>
        <row r="532">
          <cell r="B532" t="str">
            <v>Krystal Ball</v>
          </cell>
          <cell r="C532">
            <v>2338</v>
          </cell>
          <cell r="D532">
            <v>0.96830000000000005</v>
          </cell>
          <cell r="E532">
            <v>0.68520000000000003</v>
          </cell>
          <cell r="F532">
            <v>0.87290000000000001</v>
          </cell>
          <cell r="G532">
            <v>0.99350000000000005</v>
          </cell>
          <cell r="H532">
            <v>0.85729999999999995</v>
          </cell>
        </row>
        <row r="533">
          <cell r="B533" t="str">
            <v>Zackery Simmons</v>
          </cell>
          <cell r="C533">
            <v>2338</v>
          </cell>
          <cell r="D533">
            <v>0.83450000000000002</v>
          </cell>
          <cell r="E533">
            <v>0.62280000000000002</v>
          </cell>
          <cell r="F533">
            <v>0.85699999999999998</v>
          </cell>
          <cell r="G533">
            <v>0.99339999999999995</v>
          </cell>
          <cell r="H533">
            <v>0.79359999999999997</v>
          </cell>
        </row>
        <row r="534">
          <cell r="B534" t="str">
            <v>Terrilyn Muwwakkil</v>
          </cell>
          <cell r="C534">
            <v>2336</v>
          </cell>
          <cell r="D534">
            <v>0.83289999999999997</v>
          </cell>
          <cell r="E534">
            <v>0.69479999999999997</v>
          </cell>
          <cell r="F534">
            <v>0.91869999999999996</v>
          </cell>
          <cell r="G534">
            <v>0.99129999999999996</v>
          </cell>
          <cell r="H534">
            <v>0.83309999999999995</v>
          </cell>
        </row>
        <row r="535">
          <cell r="B535" t="str">
            <v>Shakeria Slade</v>
          </cell>
          <cell r="C535">
            <v>2334</v>
          </cell>
          <cell r="D535">
            <v>0.84219999999999995</v>
          </cell>
          <cell r="E535">
            <v>0.80520000000000003</v>
          </cell>
          <cell r="F535">
            <v>0.87419999999999998</v>
          </cell>
          <cell r="G535">
            <v>0.98399999999999999</v>
          </cell>
          <cell r="H535">
            <v>0.85489999999999999</v>
          </cell>
        </row>
        <row r="536">
          <cell r="B536" t="str">
            <v>Johnny Hudson</v>
          </cell>
          <cell r="C536">
            <v>2334</v>
          </cell>
          <cell r="D536">
            <v>0.84589999999999999</v>
          </cell>
          <cell r="E536">
            <v>0.67559999999999998</v>
          </cell>
          <cell r="F536">
            <v>0.88919999999999999</v>
          </cell>
          <cell r="G536">
            <v>0.99199999999999999</v>
          </cell>
          <cell r="H536">
            <v>0.82240000000000002</v>
          </cell>
        </row>
        <row r="537">
          <cell r="B537" t="str">
            <v>Egla Nufio</v>
          </cell>
          <cell r="C537">
            <v>2332</v>
          </cell>
          <cell r="D537">
            <v>0.91900000000000004</v>
          </cell>
          <cell r="E537">
            <v>0.67269999999999996</v>
          </cell>
          <cell r="F537">
            <v>0.89539999999999997</v>
          </cell>
          <cell r="G537">
            <v>0.99639999999999995</v>
          </cell>
          <cell r="H537">
            <v>0.8458</v>
          </cell>
        </row>
        <row r="538">
          <cell r="B538" t="str">
            <v>Jeanie Morin</v>
          </cell>
          <cell r="C538">
            <v>2329</v>
          </cell>
          <cell r="D538">
            <v>0.85940000000000005</v>
          </cell>
          <cell r="E538">
            <v>0.70330000000000004</v>
          </cell>
          <cell r="F538">
            <v>0.90900000000000003</v>
          </cell>
          <cell r="G538">
            <v>0.99819999999999998</v>
          </cell>
          <cell r="H538">
            <v>0.84130000000000005</v>
          </cell>
        </row>
        <row r="539">
          <cell r="B539" t="str">
            <v>Marisol Gonzalez</v>
          </cell>
          <cell r="C539">
            <v>2326</v>
          </cell>
          <cell r="D539">
            <v>0.27250000000000002</v>
          </cell>
          <cell r="E539">
            <v>0.64980000000000004</v>
          </cell>
          <cell r="F539">
            <v>0.74860000000000004</v>
          </cell>
          <cell r="G539">
            <v>0.97150000000000003</v>
          </cell>
          <cell r="H539">
            <v>0.59840000000000004</v>
          </cell>
        </row>
        <row r="540">
          <cell r="B540" t="str">
            <v>Cynthia D Miller</v>
          </cell>
          <cell r="C540">
            <v>2324</v>
          </cell>
          <cell r="D540">
            <v>0.88429999999999997</v>
          </cell>
          <cell r="E540">
            <v>0.72089999999999999</v>
          </cell>
          <cell r="F540">
            <v>0.91469999999999996</v>
          </cell>
          <cell r="G540">
            <v>0.98470000000000002</v>
          </cell>
          <cell r="H540">
            <v>0.85440000000000005</v>
          </cell>
        </row>
        <row r="541">
          <cell r="B541" t="str">
            <v>Carlise Parker</v>
          </cell>
          <cell r="C541">
            <v>2324</v>
          </cell>
          <cell r="D541">
            <v>0.92920000000000003</v>
          </cell>
          <cell r="E541">
            <v>0.70369999999999999</v>
          </cell>
          <cell r="F541">
            <v>0.90259999999999996</v>
          </cell>
          <cell r="G541">
            <v>0.99429999999999996</v>
          </cell>
          <cell r="H541">
            <v>0.86009999999999998</v>
          </cell>
        </row>
        <row r="542">
          <cell r="B542" t="str">
            <v>DeAsia Twymon</v>
          </cell>
          <cell r="C542">
            <v>2322</v>
          </cell>
          <cell r="D542">
            <v>0.91610000000000003</v>
          </cell>
          <cell r="E542">
            <v>0.65010000000000001</v>
          </cell>
          <cell r="F542">
            <v>0.85560000000000003</v>
          </cell>
          <cell r="G542">
            <v>0.99390000000000001</v>
          </cell>
          <cell r="H542">
            <v>0.82589999999999997</v>
          </cell>
        </row>
        <row r="543">
          <cell r="B543" t="str">
            <v>Jada Moorer</v>
          </cell>
          <cell r="C543">
            <v>2321</v>
          </cell>
          <cell r="D543">
            <v>0.91620000000000001</v>
          </cell>
          <cell r="E543">
            <v>0.70289999999999997</v>
          </cell>
          <cell r="F543">
            <v>0.89300000000000002</v>
          </cell>
          <cell r="G543">
            <v>0.99</v>
          </cell>
          <cell r="H543">
            <v>0.85260000000000002</v>
          </cell>
        </row>
        <row r="544">
          <cell r="B544" t="str">
            <v>Caleb Miller</v>
          </cell>
          <cell r="C544">
            <v>2321</v>
          </cell>
          <cell r="D544">
            <v>0.95660000000000001</v>
          </cell>
          <cell r="E544">
            <v>0.73629999999999995</v>
          </cell>
          <cell r="F544">
            <v>0.92179999999999995</v>
          </cell>
          <cell r="G544">
            <v>0.997</v>
          </cell>
          <cell r="H544">
            <v>0.8841</v>
          </cell>
        </row>
        <row r="545">
          <cell r="B545" t="str">
            <v>Terrence Sinkler Jr</v>
          </cell>
          <cell r="C545">
            <v>2320</v>
          </cell>
          <cell r="D545">
            <v>0.88060000000000005</v>
          </cell>
          <cell r="E545">
            <v>0.67400000000000004</v>
          </cell>
          <cell r="F545">
            <v>0.87790000000000001</v>
          </cell>
          <cell r="G545">
            <v>0.98980000000000001</v>
          </cell>
          <cell r="H545">
            <v>0.82879999999999998</v>
          </cell>
        </row>
        <row r="546">
          <cell r="B546" t="str">
            <v>Candice Granger</v>
          </cell>
          <cell r="C546">
            <v>2316</v>
          </cell>
          <cell r="D546">
            <v>0.93230000000000002</v>
          </cell>
          <cell r="E546">
            <v>0.72819999999999996</v>
          </cell>
          <cell r="F546">
            <v>0.94020000000000004</v>
          </cell>
          <cell r="G546">
            <v>0.99170000000000003</v>
          </cell>
          <cell r="H546">
            <v>0.87939999999999996</v>
          </cell>
        </row>
        <row r="547">
          <cell r="B547" t="str">
            <v>Dynadia Stevenson</v>
          </cell>
          <cell r="C547">
            <v>2316</v>
          </cell>
          <cell r="D547">
            <v>0.96009999999999995</v>
          </cell>
          <cell r="E547">
            <v>0.71489999999999998</v>
          </cell>
          <cell r="F547">
            <v>0.93289999999999995</v>
          </cell>
          <cell r="G547">
            <v>0.99250000000000005</v>
          </cell>
          <cell r="H547">
            <v>0.88160000000000005</v>
          </cell>
        </row>
        <row r="548">
          <cell r="B548" t="str">
            <v>Sierra Gormley</v>
          </cell>
          <cell r="C548">
            <v>2315</v>
          </cell>
          <cell r="D548">
            <v>0.93189999999999995</v>
          </cell>
          <cell r="E548">
            <v>0.7107</v>
          </cell>
          <cell r="F548">
            <v>0.91149999999999998</v>
          </cell>
          <cell r="G548">
            <v>0.99299999999999999</v>
          </cell>
          <cell r="H548">
            <v>0.86550000000000005</v>
          </cell>
        </row>
        <row r="549">
          <cell r="B549" t="str">
            <v>Lavor Polk</v>
          </cell>
          <cell r="C549">
            <v>2315</v>
          </cell>
          <cell r="D549">
            <v>0.9274</v>
          </cell>
          <cell r="E549">
            <v>0.74750000000000005</v>
          </cell>
          <cell r="F549">
            <v>0.91930000000000001</v>
          </cell>
          <cell r="G549">
            <v>0.99619999999999997</v>
          </cell>
          <cell r="H549">
            <v>0.87790000000000001</v>
          </cell>
        </row>
        <row r="550">
          <cell r="B550" t="str">
            <v>Kimberly Mays Glenn</v>
          </cell>
          <cell r="C550">
            <v>2312</v>
          </cell>
          <cell r="D550">
            <v>0.94940000000000002</v>
          </cell>
          <cell r="E550">
            <v>0.70740000000000003</v>
          </cell>
          <cell r="F550">
            <v>0.90329999999999999</v>
          </cell>
          <cell r="G550">
            <v>0.99199999999999999</v>
          </cell>
          <cell r="H550">
            <v>0.86719999999999997</v>
          </cell>
        </row>
        <row r="551">
          <cell r="B551" t="str">
            <v>Modupe Onasanya</v>
          </cell>
          <cell r="C551">
            <v>2312</v>
          </cell>
          <cell r="D551">
            <v>0.91590000000000005</v>
          </cell>
          <cell r="E551">
            <v>0.71579999999999999</v>
          </cell>
          <cell r="F551">
            <v>0.90749999999999997</v>
          </cell>
          <cell r="G551">
            <v>0.98329999999999995</v>
          </cell>
          <cell r="H551">
            <v>0.86009999999999998</v>
          </cell>
        </row>
        <row r="552">
          <cell r="B552" t="str">
            <v>Samantha Uschan</v>
          </cell>
          <cell r="C552">
            <v>2311</v>
          </cell>
          <cell r="D552">
            <v>0.8931</v>
          </cell>
          <cell r="E552">
            <v>0.72770000000000001</v>
          </cell>
          <cell r="F552">
            <v>0.91210000000000002</v>
          </cell>
          <cell r="G552">
            <v>0.99150000000000005</v>
          </cell>
          <cell r="H552">
            <v>0.85899999999999999</v>
          </cell>
        </row>
        <row r="553">
          <cell r="B553" t="str">
            <v>Lekita Yarberry</v>
          </cell>
          <cell r="C553">
            <v>2310</v>
          </cell>
          <cell r="D553">
            <v>0.89559999999999995</v>
          </cell>
          <cell r="E553">
            <v>0.66559999999999997</v>
          </cell>
          <cell r="F553">
            <v>0.86339999999999995</v>
          </cell>
          <cell r="G553">
            <v>0.99539999999999995</v>
          </cell>
          <cell r="H553">
            <v>0.82689999999999997</v>
          </cell>
        </row>
        <row r="554">
          <cell r="B554" t="str">
            <v>Nicole Brown</v>
          </cell>
          <cell r="C554">
            <v>2310</v>
          </cell>
          <cell r="D554">
            <v>0.83889999999999998</v>
          </cell>
          <cell r="E554">
            <v>0.66979999999999995</v>
          </cell>
          <cell r="F554">
            <v>0.88080000000000003</v>
          </cell>
          <cell r="G554">
            <v>0.98419999999999996</v>
          </cell>
          <cell r="H554">
            <v>0.81530000000000002</v>
          </cell>
        </row>
        <row r="555">
          <cell r="B555" t="str">
            <v>Yesenia Rueda</v>
          </cell>
          <cell r="C555">
            <v>2307</v>
          </cell>
          <cell r="D555">
            <v>0.87309999999999999</v>
          </cell>
          <cell r="E555">
            <v>0.67259999999999998</v>
          </cell>
          <cell r="F555">
            <v>0.86460000000000004</v>
          </cell>
          <cell r="G555">
            <v>0.99360000000000004</v>
          </cell>
          <cell r="H555">
            <v>0.82240000000000002</v>
          </cell>
        </row>
        <row r="556">
          <cell r="B556" t="str">
            <v>Victennia Turner</v>
          </cell>
          <cell r="C556">
            <v>2305</v>
          </cell>
          <cell r="D556">
            <v>0.89659999999999995</v>
          </cell>
          <cell r="E556">
            <v>0.68889999999999996</v>
          </cell>
          <cell r="F556">
            <v>0.93179999999999996</v>
          </cell>
          <cell r="G556">
            <v>0.99539999999999995</v>
          </cell>
          <cell r="H556">
            <v>0.85470000000000002</v>
          </cell>
        </row>
        <row r="557">
          <cell r="B557" t="str">
            <v>Natalie Arellano</v>
          </cell>
          <cell r="C557">
            <v>2303</v>
          </cell>
          <cell r="D557">
            <v>0.27039999999999997</v>
          </cell>
          <cell r="E557">
            <v>0.66120000000000001</v>
          </cell>
          <cell r="F557">
            <v>0.7752</v>
          </cell>
          <cell r="G557">
            <v>0.97740000000000005</v>
          </cell>
          <cell r="H557">
            <v>0.60980000000000001</v>
          </cell>
        </row>
        <row r="558">
          <cell r="B558" t="str">
            <v>Noelia Gonzalez</v>
          </cell>
          <cell r="C558">
            <v>2299</v>
          </cell>
          <cell r="D558">
            <v>0.3624</v>
          </cell>
          <cell r="E558">
            <v>0.62509999999999999</v>
          </cell>
          <cell r="F558">
            <v>0.80389999999999995</v>
          </cell>
          <cell r="G558">
            <v>0.98150000000000004</v>
          </cell>
          <cell r="H558">
            <v>0.63560000000000005</v>
          </cell>
        </row>
        <row r="559">
          <cell r="B559" t="str">
            <v>Courtney Roden</v>
          </cell>
          <cell r="C559">
            <v>2299</v>
          </cell>
          <cell r="D559">
            <v>0.88529999999999998</v>
          </cell>
          <cell r="E559">
            <v>0.72989999999999999</v>
          </cell>
          <cell r="F559">
            <v>0.95889999999999997</v>
          </cell>
          <cell r="G559">
            <v>0.99339999999999995</v>
          </cell>
          <cell r="H559">
            <v>0.87160000000000004</v>
          </cell>
        </row>
        <row r="560">
          <cell r="B560" t="str">
            <v>Tracy McMillan-Sorrell</v>
          </cell>
          <cell r="C560">
            <v>2298</v>
          </cell>
          <cell r="D560">
            <v>0.92149999999999999</v>
          </cell>
          <cell r="E560">
            <v>0.69420000000000004</v>
          </cell>
          <cell r="F560">
            <v>0.91830000000000001</v>
          </cell>
          <cell r="G560">
            <v>0.98129999999999995</v>
          </cell>
          <cell r="H560">
            <v>0.85829999999999995</v>
          </cell>
        </row>
        <row r="561">
          <cell r="B561" t="str">
            <v>Alexia Lockett-Miles</v>
          </cell>
          <cell r="C561">
            <v>2293</v>
          </cell>
          <cell r="D561">
            <v>0.92330000000000001</v>
          </cell>
          <cell r="E561">
            <v>0.65690000000000004</v>
          </cell>
          <cell r="F561">
            <v>0.91890000000000005</v>
          </cell>
          <cell r="G561">
            <v>0.98709999999999998</v>
          </cell>
          <cell r="H561">
            <v>0.84840000000000004</v>
          </cell>
        </row>
        <row r="562">
          <cell r="B562" t="str">
            <v>Ventryce Hampton</v>
          </cell>
          <cell r="C562">
            <v>2293</v>
          </cell>
          <cell r="D562">
            <v>0.77800000000000002</v>
          </cell>
          <cell r="E562">
            <v>0.79149999999999998</v>
          </cell>
          <cell r="F562">
            <v>0.8478</v>
          </cell>
          <cell r="G562">
            <v>0.97989999999999999</v>
          </cell>
          <cell r="H562">
            <v>0.82320000000000004</v>
          </cell>
        </row>
        <row r="563">
          <cell r="B563" t="str">
            <v>Janette Ramirez</v>
          </cell>
          <cell r="C563">
            <v>2291</v>
          </cell>
          <cell r="D563">
            <v>0.94599999999999995</v>
          </cell>
          <cell r="E563">
            <v>0.71709999999999996</v>
          </cell>
          <cell r="F563">
            <v>0.92730000000000001</v>
          </cell>
          <cell r="G563">
            <v>0.99839999999999995</v>
          </cell>
          <cell r="H563">
            <v>0.877</v>
          </cell>
        </row>
        <row r="564">
          <cell r="B564" t="str">
            <v>Ray' Sauls</v>
          </cell>
          <cell r="C564">
            <v>2290</v>
          </cell>
          <cell r="D564">
            <v>0.92520000000000002</v>
          </cell>
          <cell r="E564">
            <v>0.71330000000000005</v>
          </cell>
          <cell r="F564">
            <v>0.92410000000000003</v>
          </cell>
          <cell r="G564">
            <v>0.98709999999999998</v>
          </cell>
          <cell r="H564">
            <v>0.86750000000000005</v>
          </cell>
        </row>
        <row r="565">
          <cell r="B565" t="str">
            <v>Michael Hocker</v>
          </cell>
          <cell r="C565">
            <v>2289</v>
          </cell>
          <cell r="D565">
            <v>0.84140000000000004</v>
          </cell>
          <cell r="E565">
            <v>0.68540000000000001</v>
          </cell>
          <cell r="F565">
            <v>0.87119999999999997</v>
          </cell>
          <cell r="G565">
            <v>0.99580000000000002</v>
          </cell>
          <cell r="H565">
            <v>0.81899999999999995</v>
          </cell>
        </row>
        <row r="566">
          <cell r="B566" t="str">
            <v>Destiny Horton</v>
          </cell>
          <cell r="C566">
            <v>2289</v>
          </cell>
          <cell r="D566">
            <v>0.88790000000000002</v>
          </cell>
          <cell r="E566">
            <v>0.72650000000000003</v>
          </cell>
          <cell r="F566">
            <v>0.93259999999999998</v>
          </cell>
          <cell r="G566">
            <v>0.99460000000000004</v>
          </cell>
          <cell r="H566">
            <v>0.86350000000000005</v>
          </cell>
        </row>
        <row r="567">
          <cell r="B567" t="str">
            <v>Kelsha Bonnet</v>
          </cell>
          <cell r="C567">
            <v>2288</v>
          </cell>
          <cell r="D567">
            <v>0.86439999999999995</v>
          </cell>
          <cell r="E567">
            <v>0.6774</v>
          </cell>
          <cell r="F567">
            <v>0.89959999999999996</v>
          </cell>
          <cell r="G567">
            <v>0.99229999999999996</v>
          </cell>
          <cell r="H567">
            <v>0.83169999999999999</v>
          </cell>
        </row>
        <row r="568">
          <cell r="B568" t="str">
            <v>Samona Robertson</v>
          </cell>
          <cell r="C568">
            <v>2287</v>
          </cell>
          <cell r="D568">
            <v>0.73019999999999996</v>
          </cell>
          <cell r="E568">
            <v>0.61550000000000005</v>
          </cell>
          <cell r="F568">
            <v>0.75609999999999999</v>
          </cell>
          <cell r="G568">
            <v>0.99360000000000004</v>
          </cell>
          <cell r="H568">
            <v>0.72989999999999999</v>
          </cell>
        </row>
        <row r="569">
          <cell r="B569" t="str">
            <v>Katelin Williams</v>
          </cell>
          <cell r="C569">
            <v>2286</v>
          </cell>
          <cell r="D569">
            <v>0.77669999999999995</v>
          </cell>
          <cell r="E569">
            <v>0.66320000000000001</v>
          </cell>
          <cell r="F569">
            <v>0.85729999999999995</v>
          </cell>
          <cell r="G569">
            <v>0.99660000000000004</v>
          </cell>
          <cell r="H569">
            <v>0.78879999999999995</v>
          </cell>
        </row>
        <row r="570">
          <cell r="B570" t="str">
            <v>Madeline Tessmer</v>
          </cell>
          <cell r="C570">
            <v>2284</v>
          </cell>
          <cell r="D570">
            <v>0.95489999999999997</v>
          </cell>
          <cell r="E570">
            <v>0.69610000000000005</v>
          </cell>
          <cell r="F570">
            <v>0.92749999999999999</v>
          </cell>
          <cell r="G570">
            <v>0.998</v>
          </cell>
          <cell r="H570">
            <v>0.87329999999999997</v>
          </cell>
        </row>
        <row r="571">
          <cell r="B571" t="str">
            <v>Arleth Zamarripa</v>
          </cell>
          <cell r="C571">
            <v>2283</v>
          </cell>
          <cell r="D571">
            <v>0.75049999999999994</v>
          </cell>
          <cell r="E571">
            <v>0.60909999999999997</v>
          </cell>
          <cell r="F571">
            <v>0.82589999999999997</v>
          </cell>
          <cell r="G571">
            <v>0.99050000000000005</v>
          </cell>
          <cell r="H571">
            <v>0.75470000000000004</v>
          </cell>
        </row>
        <row r="572">
          <cell r="B572" t="str">
            <v>Victor Payne</v>
          </cell>
          <cell r="C572">
            <v>2283</v>
          </cell>
          <cell r="D572">
            <v>0.96860000000000002</v>
          </cell>
          <cell r="E572">
            <v>0.65080000000000005</v>
          </cell>
          <cell r="F572">
            <v>0.96699999999999997</v>
          </cell>
          <cell r="G572">
            <v>0.997</v>
          </cell>
          <cell r="H572">
            <v>0.87560000000000004</v>
          </cell>
        </row>
        <row r="573">
          <cell r="B573" t="str">
            <v>Delisha McGilbra</v>
          </cell>
          <cell r="C573">
            <v>2281</v>
          </cell>
          <cell r="D573">
            <v>0.84319999999999995</v>
          </cell>
          <cell r="E573">
            <v>0.69269999999999998</v>
          </cell>
          <cell r="F573">
            <v>0.87319999999999998</v>
          </cell>
          <cell r="G573">
            <v>0.99399999999999999</v>
          </cell>
          <cell r="H573">
            <v>0.82210000000000005</v>
          </cell>
        </row>
        <row r="574">
          <cell r="B574" t="str">
            <v>Avigail Cummings</v>
          </cell>
          <cell r="C574">
            <v>2280</v>
          </cell>
          <cell r="D574">
            <v>0.95199999999999996</v>
          </cell>
          <cell r="E574">
            <v>0.71530000000000005</v>
          </cell>
          <cell r="F574">
            <v>0.92420000000000002</v>
          </cell>
          <cell r="G574">
            <v>0.99209999999999998</v>
          </cell>
          <cell r="H574">
            <v>0.87670000000000003</v>
          </cell>
        </row>
        <row r="575">
          <cell r="B575" t="str">
            <v>Satin Gaston</v>
          </cell>
          <cell r="C575">
            <v>2280</v>
          </cell>
          <cell r="D575">
            <v>0.91139999999999999</v>
          </cell>
          <cell r="E575">
            <v>0.70109999999999995</v>
          </cell>
          <cell r="F575">
            <v>0.95079999999999998</v>
          </cell>
          <cell r="G575">
            <v>0.99370000000000003</v>
          </cell>
          <cell r="H575">
            <v>0.86839999999999995</v>
          </cell>
        </row>
        <row r="576">
          <cell r="B576" t="str">
            <v>Patty Bates</v>
          </cell>
          <cell r="C576">
            <v>2279</v>
          </cell>
          <cell r="D576">
            <v>0.8851</v>
          </cell>
          <cell r="E576">
            <v>0.72150000000000003</v>
          </cell>
          <cell r="F576">
            <v>0.91849999999999998</v>
          </cell>
          <cell r="G576">
            <v>0.99260000000000004</v>
          </cell>
          <cell r="H576">
            <v>0.85680000000000001</v>
          </cell>
        </row>
        <row r="577">
          <cell r="B577" t="str">
            <v>Joylicia Hill</v>
          </cell>
          <cell r="C577">
            <v>2279</v>
          </cell>
          <cell r="D577">
            <v>0.84550000000000003</v>
          </cell>
          <cell r="E577">
            <v>0.70140000000000002</v>
          </cell>
          <cell r="F577">
            <v>0.87180000000000002</v>
          </cell>
          <cell r="G577">
            <v>0.99480000000000002</v>
          </cell>
          <cell r="H577">
            <v>0.82509999999999994</v>
          </cell>
        </row>
        <row r="578">
          <cell r="B578" t="str">
            <v>Carina Arellano</v>
          </cell>
          <cell r="C578">
            <v>2276</v>
          </cell>
          <cell r="D578">
            <v>0.93149999999999999</v>
          </cell>
          <cell r="E578">
            <v>0.71079999999999999</v>
          </cell>
          <cell r="F578">
            <v>0.90759999999999996</v>
          </cell>
          <cell r="G578">
            <v>0.99280000000000002</v>
          </cell>
          <cell r="H578">
            <v>0.86419999999999997</v>
          </cell>
        </row>
        <row r="579">
          <cell r="B579" t="str">
            <v>Dawn Fitzgerald-Faulkner</v>
          </cell>
          <cell r="C579">
            <v>2276</v>
          </cell>
          <cell r="D579">
            <v>0.88629999999999998</v>
          </cell>
          <cell r="E579">
            <v>0.71040000000000003</v>
          </cell>
          <cell r="F579">
            <v>0.84379999999999999</v>
          </cell>
          <cell r="G579">
            <v>0.99439999999999995</v>
          </cell>
          <cell r="H579">
            <v>0.83160000000000001</v>
          </cell>
        </row>
        <row r="580">
          <cell r="B580" t="str">
            <v>Jennie Owens</v>
          </cell>
          <cell r="C580">
            <v>2275</v>
          </cell>
          <cell r="D580">
            <v>0.75780000000000003</v>
          </cell>
          <cell r="E580">
            <v>0.68410000000000004</v>
          </cell>
          <cell r="F580">
            <v>0.88990000000000002</v>
          </cell>
          <cell r="G580">
            <v>0.99360000000000004</v>
          </cell>
          <cell r="H580">
            <v>0.79890000000000005</v>
          </cell>
        </row>
        <row r="581">
          <cell r="B581" t="str">
            <v>NaTaysha Mitchell</v>
          </cell>
          <cell r="C581">
            <v>2274</v>
          </cell>
          <cell r="D581">
            <v>0.85370000000000001</v>
          </cell>
          <cell r="E581">
            <v>0.62770000000000004</v>
          </cell>
          <cell r="F581">
            <v>0.74270000000000003</v>
          </cell>
          <cell r="G581">
            <v>0.98460000000000003</v>
          </cell>
          <cell r="H581">
            <v>0.76570000000000005</v>
          </cell>
        </row>
        <row r="582">
          <cell r="B582" t="str">
            <v>Emajen Avery</v>
          </cell>
          <cell r="C582">
            <v>2274</v>
          </cell>
          <cell r="D582">
            <v>0.91010000000000002</v>
          </cell>
          <cell r="E582">
            <v>0.69850000000000001</v>
          </cell>
          <cell r="F582">
            <v>0.81689999999999996</v>
          </cell>
          <cell r="G582">
            <v>0.99229999999999996</v>
          </cell>
          <cell r="H582">
            <v>0.82689999999999997</v>
          </cell>
        </row>
        <row r="583">
          <cell r="B583" t="str">
            <v>Brenda Gonzalez</v>
          </cell>
          <cell r="C583">
            <v>2274</v>
          </cell>
          <cell r="D583">
            <v>0.33710000000000001</v>
          </cell>
          <cell r="E583">
            <v>0.66659999999999997</v>
          </cell>
          <cell r="F583">
            <v>0.74729999999999996</v>
          </cell>
          <cell r="G583">
            <v>0.97889999999999999</v>
          </cell>
          <cell r="H583">
            <v>0.62319999999999998</v>
          </cell>
        </row>
        <row r="584">
          <cell r="B584" t="str">
            <v>Kristen Wallace</v>
          </cell>
          <cell r="C584">
            <v>2272</v>
          </cell>
          <cell r="D584">
            <v>0.9224</v>
          </cell>
          <cell r="E584">
            <v>0.69699999999999995</v>
          </cell>
          <cell r="F584">
            <v>0.90259999999999996</v>
          </cell>
          <cell r="G584">
            <v>0.99509999999999998</v>
          </cell>
          <cell r="H584">
            <v>0.85609999999999997</v>
          </cell>
        </row>
        <row r="585">
          <cell r="B585" t="str">
            <v>Monica Espinoza</v>
          </cell>
          <cell r="C585">
            <v>2268</v>
          </cell>
          <cell r="D585">
            <v>0.37159999999999999</v>
          </cell>
          <cell r="E585">
            <v>0.63949999999999996</v>
          </cell>
          <cell r="F585">
            <v>0.78939999999999999</v>
          </cell>
          <cell r="G585">
            <v>0.97350000000000003</v>
          </cell>
          <cell r="H585">
            <v>0.63749999999999996</v>
          </cell>
        </row>
        <row r="586">
          <cell r="B586" t="str">
            <v>Bobbi Yancey</v>
          </cell>
          <cell r="C586">
            <v>2266</v>
          </cell>
          <cell r="D586">
            <v>0.93489999999999995</v>
          </cell>
          <cell r="E586">
            <v>0.69199999999999995</v>
          </cell>
          <cell r="F586">
            <v>0.89849999999999997</v>
          </cell>
          <cell r="G586">
            <v>0.99339999999999995</v>
          </cell>
          <cell r="H586">
            <v>0.85699999999999998</v>
          </cell>
        </row>
        <row r="587">
          <cell r="B587" t="str">
            <v>Tekia McBride</v>
          </cell>
          <cell r="C587">
            <v>2263</v>
          </cell>
          <cell r="D587">
            <v>0.84640000000000004</v>
          </cell>
          <cell r="E587">
            <v>0.63639999999999997</v>
          </cell>
          <cell r="F587">
            <v>0.8921</v>
          </cell>
          <cell r="G587">
            <v>0.99319999999999997</v>
          </cell>
          <cell r="H587">
            <v>0.81179999999999997</v>
          </cell>
        </row>
        <row r="588">
          <cell r="B588" t="str">
            <v>Olivia Elizalde</v>
          </cell>
          <cell r="C588">
            <v>2263</v>
          </cell>
          <cell r="D588">
            <v>0.3669</v>
          </cell>
          <cell r="E588">
            <v>0.62660000000000005</v>
          </cell>
          <cell r="F588">
            <v>0.81910000000000005</v>
          </cell>
          <cell r="G588">
            <v>0.97340000000000004</v>
          </cell>
          <cell r="H588">
            <v>0.6411</v>
          </cell>
        </row>
        <row r="589">
          <cell r="B589" t="str">
            <v>Joneisha Bowers Tugman</v>
          </cell>
          <cell r="C589">
            <v>2260</v>
          </cell>
          <cell r="D589">
            <v>0.94650000000000001</v>
          </cell>
          <cell r="E589">
            <v>0.72270000000000001</v>
          </cell>
          <cell r="F589">
            <v>0.94799999999999995</v>
          </cell>
          <cell r="G589">
            <v>0.99319999999999997</v>
          </cell>
          <cell r="H589">
            <v>0.88449999999999995</v>
          </cell>
        </row>
        <row r="590">
          <cell r="B590" t="str">
            <v>Cynthia Gunn</v>
          </cell>
          <cell r="C590">
            <v>2257</v>
          </cell>
          <cell r="D590">
            <v>0.8427</v>
          </cell>
          <cell r="E590">
            <v>0.75849999999999995</v>
          </cell>
          <cell r="F590">
            <v>0.85640000000000005</v>
          </cell>
          <cell r="G590">
            <v>0.99360000000000004</v>
          </cell>
          <cell r="H590">
            <v>0.8367</v>
          </cell>
        </row>
        <row r="591">
          <cell r="B591" t="str">
            <v>Curneisha Pouncy</v>
          </cell>
          <cell r="C591">
            <v>2256</v>
          </cell>
          <cell r="D591">
            <v>0.91459999999999997</v>
          </cell>
          <cell r="E591">
            <v>0.70440000000000003</v>
          </cell>
          <cell r="F591">
            <v>0.87419999999999998</v>
          </cell>
          <cell r="G591">
            <v>0.99060000000000004</v>
          </cell>
          <cell r="H591">
            <v>0.84699999999999998</v>
          </cell>
        </row>
        <row r="592">
          <cell r="B592" t="str">
            <v>Shamarea Nkwopara</v>
          </cell>
          <cell r="C592">
            <v>2255</v>
          </cell>
          <cell r="D592">
            <v>0.87419999999999998</v>
          </cell>
          <cell r="E592">
            <v>0.68959999999999999</v>
          </cell>
          <cell r="F592">
            <v>0.8841</v>
          </cell>
          <cell r="G592">
            <v>0.9899</v>
          </cell>
          <cell r="H592">
            <v>0.83340000000000003</v>
          </cell>
        </row>
        <row r="593">
          <cell r="B593" t="str">
            <v>Christine Traywick</v>
          </cell>
          <cell r="C593">
            <v>2249</v>
          </cell>
          <cell r="D593">
            <v>0.91139999999999999</v>
          </cell>
          <cell r="E593">
            <v>0.68700000000000006</v>
          </cell>
          <cell r="F593">
            <v>0.93540000000000001</v>
          </cell>
          <cell r="G593">
            <v>0.98670000000000002</v>
          </cell>
          <cell r="H593">
            <v>0.85880000000000001</v>
          </cell>
        </row>
        <row r="594">
          <cell r="B594" t="str">
            <v>Tamika Lyles</v>
          </cell>
          <cell r="C594">
            <v>2249</v>
          </cell>
          <cell r="D594">
            <v>0.84289999999999998</v>
          </cell>
          <cell r="E594">
            <v>0.69710000000000005</v>
          </cell>
          <cell r="F594">
            <v>0.87619999999999998</v>
          </cell>
          <cell r="G594">
            <v>0.99099999999999999</v>
          </cell>
          <cell r="H594">
            <v>0.82389999999999997</v>
          </cell>
        </row>
        <row r="595">
          <cell r="B595" t="str">
            <v>Maria Taitano</v>
          </cell>
          <cell r="C595">
            <v>2248</v>
          </cell>
          <cell r="D595">
            <v>0.91869999999999996</v>
          </cell>
          <cell r="E595">
            <v>0.69269999999999998</v>
          </cell>
          <cell r="F595">
            <v>0.9264</v>
          </cell>
          <cell r="G595">
            <v>0.97950000000000004</v>
          </cell>
          <cell r="H595">
            <v>0.85929999999999995</v>
          </cell>
        </row>
        <row r="596">
          <cell r="B596" t="str">
            <v>James Pullen</v>
          </cell>
          <cell r="C596">
            <v>2246</v>
          </cell>
          <cell r="D596">
            <v>0.90169999999999995</v>
          </cell>
          <cell r="E596">
            <v>0.72089999999999999</v>
          </cell>
          <cell r="F596">
            <v>0.91820000000000002</v>
          </cell>
          <cell r="G596">
            <v>0.99360000000000004</v>
          </cell>
          <cell r="H596">
            <v>0.86160000000000003</v>
          </cell>
        </row>
        <row r="597">
          <cell r="B597" t="str">
            <v>Tajonae Kelly</v>
          </cell>
          <cell r="C597">
            <v>2242</v>
          </cell>
          <cell r="D597">
            <v>0.9516</v>
          </cell>
          <cell r="E597">
            <v>0.72189999999999999</v>
          </cell>
          <cell r="F597">
            <v>0.90049999999999997</v>
          </cell>
          <cell r="G597">
            <v>0.9929</v>
          </cell>
          <cell r="H597">
            <v>0.87150000000000005</v>
          </cell>
        </row>
        <row r="598">
          <cell r="B598" t="str">
            <v>Skylar Kennedy</v>
          </cell>
          <cell r="C598">
            <v>2239</v>
          </cell>
          <cell r="D598">
            <v>0.86580000000000001</v>
          </cell>
          <cell r="E598">
            <v>0.66549999999999998</v>
          </cell>
          <cell r="F598">
            <v>0.86080000000000001</v>
          </cell>
          <cell r="G598">
            <v>0.98660000000000003</v>
          </cell>
          <cell r="H598">
            <v>0.81630000000000003</v>
          </cell>
        </row>
        <row r="599">
          <cell r="B599" t="str">
            <v>Valeria Rodriguez</v>
          </cell>
          <cell r="C599">
            <v>2238</v>
          </cell>
          <cell r="D599">
            <v>0.28910000000000002</v>
          </cell>
          <cell r="E599">
            <v>0.64690000000000003</v>
          </cell>
          <cell r="F599">
            <v>0.81910000000000005</v>
          </cell>
          <cell r="G599">
            <v>0.98680000000000001</v>
          </cell>
          <cell r="H599">
            <v>0.62519999999999998</v>
          </cell>
        </row>
        <row r="600">
          <cell r="B600" t="str">
            <v>Richard Meiners</v>
          </cell>
          <cell r="C600">
            <v>2237</v>
          </cell>
          <cell r="D600">
            <v>0.88080000000000003</v>
          </cell>
          <cell r="E600">
            <v>0.6351</v>
          </cell>
          <cell r="F600">
            <v>0.83979999999999999</v>
          </cell>
          <cell r="G600">
            <v>0.95599999999999996</v>
          </cell>
          <cell r="H600">
            <v>0.80230000000000001</v>
          </cell>
        </row>
        <row r="601">
          <cell r="B601" t="str">
            <v>Christopher Harris</v>
          </cell>
          <cell r="C601">
            <v>2237</v>
          </cell>
          <cell r="D601">
            <v>0.90339999999999998</v>
          </cell>
          <cell r="E601">
            <v>0.7117</v>
          </cell>
          <cell r="F601">
            <v>0.72609999999999997</v>
          </cell>
          <cell r="G601">
            <v>0.9919</v>
          </cell>
          <cell r="H601">
            <v>0.80159999999999998</v>
          </cell>
        </row>
        <row r="602">
          <cell r="B602" t="str">
            <v>Terian Franklin</v>
          </cell>
          <cell r="C602">
            <v>2235</v>
          </cell>
          <cell r="D602">
            <v>0.94940000000000002</v>
          </cell>
          <cell r="E602">
            <v>0.73009999999999997</v>
          </cell>
          <cell r="F602">
            <v>0.93440000000000001</v>
          </cell>
          <cell r="G602">
            <v>0.99660000000000004</v>
          </cell>
          <cell r="H602">
            <v>0.88380000000000003</v>
          </cell>
        </row>
        <row r="603">
          <cell r="B603" t="str">
            <v>SaRita Rhone</v>
          </cell>
          <cell r="C603">
            <v>2235</v>
          </cell>
          <cell r="D603">
            <v>0.87509999999999999</v>
          </cell>
          <cell r="E603">
            <v>0.66090000000000004</v>
          </cell>
          <cell r="F603">
            <v>0.85750000000000004</v>
          </cell>
          <cell r="G603">
            <v>0.995</v>
          </cell>
          <cell r="H603">
            <v>0.81759999999999999</v>
          </cell>
        </row>
        <row r="604">
          <cell r="B604" t="str">
            <v>Jerica Dallas</v>
          </cell>
          <cell r="C604">
            <v>2235</v>
          </cell>
          <cell r="D604">
            <v>0.87909999999999999</v>
          </cell>
          <cell r="E604">
            <v>0.66900000000000004</v>
          </cell>
          <cell r="F604">
            <v>0.92079999999999995</v>
          </cell>
          <cell r="G604">
            <v>0.99260000000000004</v>
          </cell>
          <cell r="H604">
            <v>0.83989999999999998</v>
          </cell>
        </row>
        <row r="605">
          <cell r="B605" t="str">
            <v>Kimberly Williams</v>
          </cell>
          <cell r="C605">
            <v>2233</v>
          </cell>
          <cell r="D605">
            <v>0.80249999999999999</v>
          </cell>
          <cell r="E605">
            <v>0.68500000000000005</v>
          </cell>
          <cell r="F605">
            <v>0.85199999999999998</v>
          </cell>
          <cell r="G605">
            <v>0.99029999999999996</v>
          </cell>
          <cell r="H605">
            <v>0.80089999999999995</v>
          </cell>
        </row>
        <row r="606">
          <cell r="B606" t="str">
            <v>Brenda Olvera</v>
          </cell>
          <cell r="C606">
            <v>2231</v>
          </cell>
          <cell r="D606">
            <v>0.8468</v>
          </cell>
          <cell r="E606">
            <v>0.70779999999999998</v>
          </cell>
          <cell r="F606">
            <v>0.88109999999999999</v>
          </cell>
          <cell r="G606">
            <v>0.98960000000000004</v>
          </cell>
          <cell r="H606">
            <v>0.82969999999999999</v>
          </cell>
        </row>
        <row r="607">
          <cell r="B607" t="str">
            <v>Judith Bowen</v>
          </cell>
          <cell r="C607">
            <v>2230</v>
          </cell>
          <cell r="D607">
            <v>0.89590000000000003</v>
          </cell>
          <cell r="E607">
            <v>0.61939999999999995</v>
          </cell>
          <cell r="F607">
            <v>0.78590000000000004</v>
          </cell>
          <cell r="G607">
            <v>0.98719999999999997</v>
          </cell>
          <cell r="H607">
            <v>0.78910000000000002</v>
          </cell>
        </row>
        <row r="608">
          <cell r="B608" t="str">
            <v>Kamryn Bullock</v>
          </cell>
          <cell r="C608">
            <v>2230</v>
          </cell>
          <cell r="D608">
            <v>0.92410000000000003</v>
          </cell>
          <cell r="E608">
            <v>0.6593</v>
          </cell>
          <cell r="F608">
            <v>0.90310000000000001</v>
          </cell>
          <cell r="G608">
            <v>0.99550000000000005</v>
          </cell>
          <cell r="H608">
            <v>0.84550000000000003</v>
          </cell>
        </row>
        <row r="609">
          <cell r="B609" t="str">
            <v>Gloria Guzman</v>
          </cell>
          <cell r="C609">
            <v>2230</v>
          </cell>
          <cell r="D609">
            <v>0.8115</v>
          </cell>
          <cell r="E609">
            <v>0.68110000000000004</v>
          </cell>
          <cell r="F609">
            <v>0.89410000000000001</v>
          </cell>
          <cell r="G609">
            <v>0.98570000000000002</v>
          </cell>
          <cell r="H609">
            <v>0.81459999999999999</v>
          </cell>
        </row>
        <row r="610">
          <cell r="B610" t="str">
            <v>James Hoisten</v>
          </cell>
          <cell r="C610">
            <v>2229</v>
          </cell>
          <cell r="D610">
            <v>0.92210000000000003</v>
          </cell>
          <cell r="E610">
            <v>0.68740000000000001</v>
          </cell>
          <cell r="F610">
            <v>0.84530000000000005</v>
          </cell>
          <cell r="G610">
            <v>0.99590000000000001</v>
          </cell>
          <cell r="H610">
            <v>0.83599999999999997</v>
          </cell>
        </row>
        <row r="611">
          <cell r="B611" t="str">
            <v>Vanessa De La Cruz</v>
          </cell>
          <cell r="C611">
            <v>2228</v>
          </cell>
          <cell r="D611">
            <v>0.36969999999999997</v>
          </cell>
          <cell r="E611">
            <v>0.59940000000000004</v>
          </cell>
          <cell r="F611">
            <v>0.79590000000000005</v>
          </cell>
          <cell r="G611">
            <v>0.97609999999999997</v>
          </cell>
          <cell r="H611">
            <v>0.62709999999999999</v>
          </cell>
        </row>
        <row r="612">
          <cell r="B612" t="str">
            <v>Rodney Clanton</v>
          </cell>
          <cell r="C612">
            <v>2228</v>
          </cell>
          <cell r="D612">
            <v>0.9</v>
          </cell>
          <cell r="E612">
            <v>0.57350000000000001</v>
          </cell>
          <cell r="F612">
            <v>0.79179999999999995</v>
          </cell>
          <cell r="G612">
            <v>0.98540000000000005</v>
          </cell>
          <cell r="H612">
            <v>0.77810000000000001</v>
          </cell>
        </row>
        <row r="613">
          <cell r="B613" t="str">
            <v>Shantale Willis</v>
          </cell>
          <cell r="C613">
            <v>2228</v>
          </cell>
          <cell r="D613">
            <v>0.84409999999999996</v>
          </cell>
          <cell r="E613">
            <v>0.72289999999999999</v>
          </cell>
          <cell r="F613">
            <v>0.94359999999999999</v>
          </cell>
          <cell r="G613">
            <v>0.99390000000000001</v>
          </cell>
          <cell r="H613">
            <v>0.85260000000000002</v>
          </cell>
        </row>
        <row r="614">
          <cell r="B614" t="str">
            <v>Angelina Washington</v>
          </cell>
          <cell r="C614">
            <v>2226</v>
          </cell>
          <cell r="D614">
            <v>0.78069999999999995</v>
          </cell>
          <cell r="E614">
            <v>0.65649999999999997</v>
          </cell>
          <cell r="F614">
            <v>0.85950000000000004</v>
          </cell>
          <cell r="G614">
            <v>0.98839999999999995</v>
          </cell>
          <cell r="H614">
            <v>0.78779999999999994</v>
          </cell>
        </row>
        <row r="615">
          <cell r="B615" t="str">
            <v>Lewis Lewhe</v>
          </cell>
          <cell r="C615">
            <v>2224</v>
          </cell>
          <cell r="D615">
            <v>0.91020000000000001</v>
          </cell>
          <cell r="E615">
            <v>0.65759999999999996</v>
          </cell>
          <cell r="F615">
            <v>0.76349999999999996</v>
          </cell>
          <cell r="G615">
            <v>0.99260000000000004</v>
          </cell>
          <cell r="H615">
            <v>0.79859999999999998</v>
          </cell>
        </row>
        <row r="616">
          <cell r="B616" t="str">
            <v>Andria Johnson</v>
          </cell>
          <cell r="C616">
            <v>2221</v>
          </cell>
          <cell r="D616">
            <v>0.90210000000000001</v>
          </cell>
          <cell r="E616">
            <v>0.69830000000000003</v>
          </cell>
          <cell r="F616">
            <v>0.90369999999999995</v>
          </cell>
          <cell r="G616">
            <v>0.99019999999999997</v>
          </cell>
          <cell r="H616">
            <v>0.85019999999999996</v>
          </cell>
        </row>
        <row r="617">
          <cell r="B617" t="str">
            <v>Marla McKibben</v>
          </cell>
          <cell r="C617">
            <v>2221</v>
          </cell>
          <cell r="D617">
            <v>0.94850000000000001</v>
          </cell>
          <cell r="E617">
            <v>0.61129999999999995</v>
          </cell>
          <cell r="F617">
            <v>0.86399999999999999</v>
          </cell>
          <cell r="G617">
            <v>0.99329999999999996</v>
          </cell>
          <cell r="H617">
            <v>0.82650000000000001</v>
          </cell>
        </row>
        <row r="618">
          <cell r="B618" t="str">
            <v>Fequila Bryant</v>
          </cell>
          <cell r="C618">
            <v>2218</v>
          </cell>
          <cell r="D618">
            <v>0.9163</v>
          </cell>
          <cell r="E618">
            <v>0.73099999999999998</v>
          </cell>
          <cell r="F618">
            <v>0.92079999999999995</v>
          </cell>
          <cell r="G618">
            <v>0.99250000000000005</v>
          </cell>
          <cell r="H618">
            <v>0.86970000000000003</v>
          </cell>
        </row>
        <row r="619">
          <cell r="B619" t="str">
            <v>Vanessa R Hernandez</v>
          </cell>
          <cell r="C619">
            <v>2217</v>
          </cell>
          <cell r="D619">
            <v>0.89590000000000003</v>
          </cell>
          <cell r="E619">
            <v>0.63580000000000003</v>
          </cell>
          <cell r="F619">
            <v>0.9042</v>
          </cell>
          <cell r="G619">
            <v>0.99160000000000004</v>
          </cell>
          <cell r="H619">
            <v>0.82989999999999997</v>
          </cell>
        </row>
        <row r="620">
          <cell r="B620" t="str">
            <v>Sheena Smith</v>
          </cell>
          <cell r="C620">
            <v>2216</v>
          </cell>
          <cell r="D620">
            <v>0.8861</v>
          </cell>
          <cell r="E620">
            <v>0.69020000000000004</v>
          </cell>
          <cell r="F620">
            <v>0.90010000000000001</v>
          </cell>
          <cell r="G620">
            <v>0.99139999999999995</v>
          </cell>
          <cell r="H620">
            <v>0.84209999999999996</v>
          </cell>
        </row>
        <row r="621">
          <cell r="B621" t="str">
            <v>Antonio Chatman</v>
          </cell>
          <cell r="C621">
            <v>2216</v>
          </cell>
          <cell r="D621">
            <v>0.90469999999999995</v>
          </cell>
          <cell r="E621">
            <v>0.65</v>
          </cell>
          <cell r="F621">
            <v>0.86180000000000001</v>
          </cell>
          <cell r="G621">
            <v>0.99529999999999996</v>
          </cell>
          <cell r="H621">
            <v>0.82450000000000001</v>
          </cell>
        </row>
        <row r="622">
          <cell r="B622" t="str">
            <v>Amanda Avalos</v>
          </cell>
          <cell r="C622">
            <v>2214</v>
          </cell>
          <cell r="D622">
            <v>0.85299999999999998</v>
          </cell>
          <cell r="E622">
            <v>0.68369999999999997</v>
          </cell>
          <cell r="F622">
            <v>0.91220000000000001</v>
          </cell>
          <cell r="G622">
            <v>0.99490000000000001</v>
          </cell>
          <cell r="H622">
            <v>0.83420000000000005</v>
          </cell>
        </row>
        <row r="623">
          <cell r="B623" t="str">
            <v>Tyler Hendricks</v>
          </cell>
          <cell r="C623">
            <v>2213</v>
          </cell>
          <cell r="D623">
            <v>0.91459999999999997</v>
          </cell>
          <cell r="E623">
            <v>0.70030000000000003</v>
          </cell>
          <cell r="F623">
            <v>0.87819999999999998</v>
          </cell>
          <cell r="G623">
            <v>0.99460000000000004</v>
          </cell>
          <cell r="H623">
            <v>0.84740000000000004</v>
          </cell>
        </row>
        <row r="624">
          <cell r="B624" t="str">
            <v>Cydney Sirmans-Patton</v>
          </cell>
          <cell r="C624">
            <v>2212</v>
          </cell>
          <cell r="D624">
            <v>0.93979999999999997</v>
          </cell>
          <cell r="E624">
            <v>0.65700000000000003</v>
          </cell>
          <cell r="F624">
            <v>0.79849999999999999</v>
          </cell>
          <cell r="G624">
            <v>0.98219999999999996</v>
          </cell>
          <cell r="H624">
            <v>0.81679999999999997</v>
          </cell>
        </row>
        <row r="625">
          <cell r="B625" t="str">
            <v>Barbara Porter</v>
          </cell>
          <cell r="C625">
            <v>2212</v>
          </cell>
          <cell r="D625">
            <v>0.95750000000000002</v>
          </cell>
          <cell r="E625">
            <v>0.72040000000000004</v>
          </cell>
          <cell r="F625">
            <v>0.89500000000000002</v>
          </cell>
          <cell r="G625">
            <v>0.99370000000000003</v>
          </cell>
          <cell r="H625">
            <v>0.87119999999999997</v>
          </cell>
        </row>
        <row r="626">
          <cell r="B626" t="str">
            <v>Peggy England</v>
          </cell>
          <cell r="C626">
            <v>2211</v>
          </cell>
          <cell r="D626">
            <v>0.89190000000000003</v>
          </cell>
          <cell r="E626">
            <v>0.70779999999999998</v>
          </cell>
          <cell r="F626">
            <v>0.93140000000000001</v>
          </cell>
          <cell r="G626">
            <v>0.98850000000000005</v>
          </cell>
          <cell r="H626">
            <v>0.85819999999999996</v>
          </cell>
        </row>
        <row r="627">
          <cell r="B627" t="str">
            <v>Tyler Dayley</v>
          </cell>
          <cell r="C627">
            <v>2211</v>
          </cell>
          <cell r="D627">
            <v>0.87219999999999998</v>
          </cell>
          <cell r="E627">
            <v>0.67630000000000001</v>
          </cell>
          <cell r="F627">
            <v>0.89</v>
          </cell>
          <cell r="G627">
            <v>0.99380000000000002</v>
          </cell>
          <cell r="H627">
            <v>0.83089999999999997</v>
          </cell>
        </row>
        <row r="628">
          <cell r="B628" t="str">
            <v>Cynthia Anthony</v>
          </cell>
          <cell r="C628">
            <v>2210</v>
          </cell>
          <cell r="D628">
            <v>0.85450000000000004</v>
          </cell>
          <cell r="E628">
            <v>0.6462</v>
          </cell>
          <cell r="F628">
            <v>0.88219999999999998</v>
          </cell>
          <cell r="G628">
            <v>0.98499999999999999</v>
          </cell>
          <cell r="H628">
            <v>0.81340000000000001</v>
          </cell>
        </row>
        <row r="629">
          <cell r="B629" t="str">
            <v>Arianna Peterson</v>
          </cell>
          <cell r="C629">
            <v>2210</v>
          </cell>
          <cell r="D629">
            <v>0.89949999999999997</v>
          </cell>
          <cell r="E629">
            <v>0.68730000000000002</v>
          </cell>
          <cell r="F629">
            <v>0.94499999999999995</v>
          </cell>
          <cell r="G629">
            <v>0.99360000000000004</v>
          </cell>
          <cell r="H629">
            <v>0.8589</v>
          </cell>
        </row>
        <row r="630">
          <cell r="B630" t="str">
            <v>Serenity Prud-Pipkin</v>
          </cell>
          <cell r="C630">
            <v>2206</v>
          </cell>
          <cell r="D630">
            <v>0.90820000000000001</v>
          </cell>
          <cell r="E630">
            <v>0.64910000000000001</v>
          </cell>
          <cell r="F630">
            <v>0.8831</v>
          </cell>
          <cell r="G630">
            <v>0.98680000000000001</v>
          </cell>
          <cell r="H630">
            <v>0.83079999999999998</v>
          </cell>
        </row>
        <row r="631">
          <cell r="B631" t="str">
            <v>Pamela Booker</v>
          </cell>
          <cell r="C631">
            <v>2204</v>
          </cell>
          <cell r="D631">
            <v>0.86919999999999997</v>
          </cell>
          <cell r="E631">
            <v>0.67079999999999995</v>
          </cell>
          <cell r="F631">
            <v>0.93620000000000003</v>
          </cell>
          <cell r="G631">
            <v>0.99309999999999998</v>
          </cell>
          <cell r="H631">
            <v>0.84219999999999995</v>
          </cell>
        </row>
        <row r="632">
          <cell r="B632" t="str">
            <v>Shalonda Batiste</v>
          </cell>
          <cell r="C632">
            <v>2201</v>
          </cell>
          <cell r="D632">
            <v>0.9526</v>
          </cell>
          <cell r="E632">
            <v>0.69669999999999999</v>
          </cell>
          <cell r="F632">
            <v>0.94020000000000004</v>
          </cell>
          <cell r="G632">
            <v>0.99170000000000003</v>
          </cell>
          <cell r="H632">
            <v>0.876</v>
          </cell>
        </row>
        <row r="633">
          <cell r="B633" t="str">
            <v>Alisha Osborne</v>
          </cell>
          <cell r="C633">
            <v>2199</v>
          </cell>
          <cell r="D633">
            <v>0.9415</v>
          </cell>
          <cell r="E633">
            <v>0.64690000000000003</v>
          </cell>
          <cell r="F633">
            <v>0.90849999999999997</v>
          </cell>
          <cell r="G633">
            <v>0.99929999999999997</v>
          </cell>
          <cell r="H633">
            <v>0.84899999999999998</v>
          </cell>
        </row>
        <row r="634">
          <cell r="B634" t="str">
            <v>Catera Mouton</v>
          </cell>
          <cell r="C634">
            <v>2199</v>
          </cell>
          <cell r="D634">
            <v>0.92569999999999997</v>
          </cell>
          <cell r="E634">
            <v>0.71130000000000004</v>
          </cell>
          <cell r="F634">
            <v>0.91900000000000004</v>
          </cell>
          <cell r="G634">
            <v>0.99280000000000002</v>
          </cell>
          <cell r="H634">
            <v>0.86609999999999998</v>
          </cell>
        </row>
        <row r="635">
          <cell r="B635" t="str">
            <v>Arriel Banner</v>
          </cell>
          <cell r="C635">
            <v>2198</v>
          </cell>
          <cell r="D635">
            <v>0.96719999999999995</v>
          </cell>
          <cell r="E635">
            <v>0.71709999999999996</v>
          </cell>
          <cell r="F635">
            <v>0.88790000000000002</v>
          </cell>
          <cell r="G635">
            <v>0.98909999999999998</v>
          </cell>
          <cell r="H635">
            <v>0.87060000000000004</v>
          </cell>
        </row>
        <row r="636">
          <cell r="B636" t="str">
            <v>Jamie Mez</v>
          </cell>
          <cell r="C636">
            <v>2197</v>
          </cell>
          <cell r="D636">
            <v>0.96819999999999995</v>
          </cell>
          <cell r="E636">
            <v>0.70169999999999999</v>
          </cell>
          <cell r="F636">
            <v>0.91869999999999996</v>
          </cell>
          <cell r="G636">
            <v>0.99429999999999996</v>
          </cell>
          <cell r="H636">
            <v>0.876</v>
          </cell>
        </row>
        <row r="637">
          <cell r="B637" t="str">
            <v>Marcus Maner</v>
          </cell>
          <cell r="C637">
            <v>2196</v>
          </cell>
          <cell r="D637">
            <v>0.91759999999999997</v>
          </cell>
          <cell r="E637">
            <v>0.70630000000000004</v>
          </cell>
          <cell r="F637">
            <v>0.89</v>
          </cell>
          <cell r="G637">
            <v>0.99250000000000005</v>
          </cell>
          <cell r="H637">
            <v>0.85340000000000005</v>
          </cell>
        </row>
        <row r="638">
          <cell r="B638" t="str">
            <v>Ashley Narcisse</v>
          </cell>
          <cell r="C638">
            <v>2194</v>
          </cell>
          <cell r="D638">
            <v>0.92410000000000003</v>
          </cell>
          <cell r="E638">
            <v>0.63939999999999997</v>
          </cell>
          <cell r="F638">
            <v>0.92420000000000002</v>
          </cell>
          <cell r="G638">
            <v>0.99509999999999998</v>
          </cell>
          <cell r="H638">
            <v>0.8458</v>
          </cell>
        </row>
        <row r="639">
          <cell r="B639" t="str">
            <v>Beatriz Alvarado</v>
          </cell>
          <cell r="C639">
            <v>2190</v>
          </cell>
          <cell r="D639">
            <v>0.94779999999999998</v>
          </cell>
          <cell r="E639">
            <v>0.67149999999999999</v>
          </cell>
          <cell r="F639">
            <v>0.91590000000000005</v>
          </cell>
          <cell r="G639">
            <v>0.9919</v>
          </cell>
          <cell r="H639">
            <v>0.85970000000000002</v>
          </cell>
        </row>
        <row r="640">
          <cell r="B640" t="str">
            <v>Ebony Mcswain</v>
          </cell>
          <cell r="C640">
            <v>2186</v>
          </cell>
          <cell r="D640">
            <v>0.95850000000000002</v>
          </cell>
          <cell r="E640">
            <v>0.7127</v>
          </cell>
          <cell r="F640">
            <v>0.92379999999999995</v>
          </cell>
          <cell r="G640">
            <v>0.99509999999999998</v>
          </cell>
          <cell r="H640">
            <v>0.878</v>
          </cell>
        </row>
        <row r="641">
          <cell r="B641" t="str">
            <v>Tamiya Singleton</v>
          </cell>
          <cell r="C641">
            <v>2182</v>
          </cell>
          <cell r="D641">
            <v>0.89639999999999997</v>
          </cell>
          <cell r="E641">
            <v>0.66690000000000005</v>
          </cell>
          <cell r="F641">
            <v>0.8115</v>
          </cell>
          <cell r="G641">
            <v>0.99109999999999998</v>
          </cell>
          <cell r="H641">
            <v>0.8115</v>
          </cell>
        </row>
        <row r="642">
          <cell r="B642" t="str">
            <v>Keyari Brooks</v>
          </cell>
          <cell r="C642">
            <v>2180</v>
          </cell>
          <cell r="D642">
            <v>0.81189999999999996</v>
          </cell>
          <cell r="E642">
            <v>0.57920000000000005</v>
          </cell>
          <cell r="F642">
            <v>0.75160000000000005</v>
          </cell>
          <cell r="G642">
            <v>0.99650000000000005</v>
          </cell>
          <cell r="H642">
            <v>0.74239999999999995</v>
          </cell>
        </row>
        <row r="643">
          <cell r="B643" t="str">
            <v>Cyndi Akins</v>
          </cell>
          <cell r="C643">
            <v>2179</v>
          </cell>
          <cell r="D643">
            <v>0.93230000000000002</v>
          </cell>
          <cell r="E643">
            <v>0.67889999999999995</v>
          </cell>
          <cell r="F643">
            <v>0.89580000000000004</v>
          </cell>
          <cell r="G643">
            <v>0.99409999999999998</v>
          </cell>
          <cell r="H643">
            <v>0.85150000000000003</v>
          </cell>
        </row>
        <row r="644">
          <cell r="B644" t="str">
            <v>Kendra Brown</v>
          </cell>
          <cell r="C644">
            <v>2178</v>
          </cell>
          <cell r="D644">
            <v>0.96220000000000006</v>
          </cell>
          <cell r="E644">
            <v>0.70089999999999997</v>
          </cell>
          <cell r="F644">
            <v>0.93400000000000005</v>
          </cell>
          <cell r="G644">
            <v>0.99009999999999998</v>
          </cell>
          <cell r="H644">
            <v>0.87809999999999999</v>
          </cell>
        </row>
        <row r="645">
          <cell r="B645" t="str">
            <v>Rick Dail</v>
          </cell>
          <cell r="C645">
            <v>2174</v>
          </cell>
          <cell r="D645">
            <v>0.88580000000000003</v>
          </cell>
          <cell r="E645">
            <v>0.61029999999999995</v>
          </cell>
          <cell r="F645">
            <v>0.74539999999999995</v>
          </cell>
          <cell r="G645">
            <v>0.98960000000000004</v>
          </cell>
          <cell r="H645">
            <v>0.77139999999999997</v>
          </cell>
        </row>
        <row r="646">
          <cell r="B646" t="str">
            <v>Becky Blackwell</v>
          </cell>
          <cell r="C646">
            <v>2174</v>
          </cell>
          <cell r="D646">
            <v>0.89690000000000003</v>
          </cell>
          <cell r="E646">
            <v>0.59230000000000005</v>
          </cell>
          <cell r="F646">
            <v>0.81789999999999996</v>
          </cell>
          <cell r="G646">
            <v>0.98850000000000005</v>
          </cell>
          <cell r="H646">
            <v>0.79100000000000004</v>
          </cell>
        </row>
        <row r="647">
          <cell r="B647" t="str">
            <v>Hannah Winters</v>
          </cell>
          <cell r="C647">
            <v>2174</v>
          </cell>
          <cell r="D647">
            <v>0.87790000000000001</v>
          </cell>
          <cell r="E647">
            <v>0.73070000000000002</v>
          </cell>
          <cell r="F647">
            <v>0.871</v>
          </cell>
          <cell r="G647">
            <v>0.99270000000000003</v>
          </cell>
          <cell r="H647">
            <v>0.84319999999999995</v>
          </cell>
        </row>
        <row r="648">
          <cell r="B648" t="str">
            <v>Cornetta Eubanks</v>
          </cell>
          <cell r="C648">
            <v>2174</v>
          </cell>
          <cell r="D648">
            <v>0.9446</v>
          </cell>
          <cell r="E648">
            <v>0.7319</v>
          </cell>
          <cell r="F648">
            <v>0.89290000000000003</v>
          </cell>
          <cell r="G648">
            <v>0.99399999999999999</v>
          </cell>
          <cell r="H648">
            <v>0.87019999999999997</v>
          </cell>
        </row>
        <row r="649">
          <cell r="B649" t="str">
            <v>Jacque Estrada</v>
          </cell>
          <cell r="C649">
            <v>2166</v>
          </cell>
          <cell r="D649">
            <v>0.91059999999999997</v>
          </cell>
          <cell r="E649">
            <v>0.71730000000000005</v>
          </cell>
          <cell r="F649">
            <v>0.96479999999999999</v>
          </cell>
          <cell r="G649">
            <v>0.99429999999999996</v>
          </cell>
          <cell r="H649">
            <v>0.87719999999999998</v>
          </cell>
        </row>
        <row r="650">
          <cell r="B650" t="str">
            <v>LoKisha Allou</v>
          </cell>
          <cell r="C650">
            <v>2162</v>
          </cell>
          <cell r="D650">
            <v>0.8478</v>
          </cell>
          <cell r="E650">
            <v>0.65569999999999995</v>
          </cell>
          <cell r="F650">
            <v>0.87670000000000003</v>
          </cell>
          <cell r="G650">
            <v>0.99150000000000005</v>
          </cell>
          <cell r="H650">
            <v>0.81320000000000003</v>
          </cell>
        </row>
        <row r="651">
          <cell r="B651" t="str">
            <v>Shamekia Bell</v>
          </cell>
          <cell r="C651">
            <v>2160</v>
          </cell>
          <cell r="D651">
            <v>0.94810000000000005</v>
          </cell>
          <cell r="E651">
            <v>0.73470000000000002</v>
          </cell>
          <cell r="F651">
            <v>0.94430000000000003</v>
          </cell>
          <cell r="G651">
            <v>0.99419999999999997</v>
          </cell>
          <cell r="H651">
            <v>0.88749999999999996</v>
          </cell>
        </row>
        <row r="652">
          <cell r="B652" t="str">
            <v>Holly Pretorius</v>
          </cell>
          <cell r="C652">
            <v>2160</v>
          </cell>
          <cell r="D652">
            <v>0.92349999999999999</v>
          </cell>
          <cell r="E652">
            <v>0.68569999999999998</v>
          </cell>
          <cell r="F652">
            <v>0.89970000000000006</v>
          </cell>
          <cell r="G652">
            <v>0.99319999999999997</v>
          </cell>
          <cell r="H652">
            <v>0.85199999999999998</v>
          </cell>
        </row>
        <row r="653">
          <cell r="B653" t="str">
            <v>Melanie Gaines</v>
          </cell>
          <cell r="C653">
            <v>2157</v>
          </cell>
          <cell r="D653">
            <v>0.92759999999999998</v>
          </cell>
          <cell r="E653">
            <v>0.6966</v>
          </cell>
          <cell r="F653">
            <v>0.9284</v>
          </cell>
          <cell r="G653">
            <v>0.98929999999999996</v>
          </cell>
          <cell r="H653">
            <v>0.86470000000000002</v>
          </cell>
        </row>
        <row r="654">
          <cell r="B654" t="str">
            <v>Tamar Tubbs</v>
          </cell>
          <cell r="C654">
            <v>2156</v>
          </cell>
          <cell r="D654">
            <v>0.72629999999999995</v>
          </cell>
          <cell r="E654">
            <v>0.63980000000000004</v>
          </cell>
          <cell r="F654">
            <v>0.81850000000000001</v>
          </cell>
          <cell r="G654">
            <v>0.99109999999999998</v>
          </cell>
          <cell r="H654">
            <v>0.75449999999999995</v>
          </cell>
        </row>
        <row r="655">
          <cell r="B655" t="str">
            <v>Jennifer Rodriguez</v>
          </cell>
          <cell r="C655">
            <v>2154</v>
          </cell>
          <cell r="D655">
            <v>0.77290000000000003</v>
          </cell>
          <cell r="E655">
            <v>0.70279999999999998</v>
          </cell>
          <cell r="F655">
            <v>0.92290000000000005</v>
          </cell>
          <cell r="G655">
            <v>0.99670000000000003</v>
          </cell>
          <cell r="H655">
            <v>0.81920000000000004</v>
          </cell>
        </row>
        <row r="656">
          <cell r="B656" t="str">
            <v>Keri Coggin</v>
          </cell>
          <cell r="C656">
            <v>2153</v>
          </cell>
          <cell r="D656">
            <v>0.85440000000000005</v>
          </cell>
          <cell r="E656">
            <v>0.66569999999999996</v>
          </cell>
          <cell r="F656">
            <v>0.8871</v>
          </cell>
          <cell r="G656">
            <v>0.99560000000000004</v>
          </cell>
          <cell r="H656">
            <v>0.82169999999999999</v>
          </cell>
        </row>
        <row r="657">
          <cell r="B657" t="str">
            <v>Ronnesha Harvey</v>
          </cell>
          <cell r="C657">
            <v>2153</v>
          </cell>
          <cell r="D657">
            <v>0.87819999999999998</v>
          </cell>
          <cell r="E657">
            <v>0.70109999999999995</v>
          </cell>
          <cell r="F657">
            <v>0.91620000000000001</v>
          </cell>
          <cell r="G657">
            <v>0.99550000000000005</v>
          </cell>
          <cell r="H657">
            <v>0.84819999999999995</v>
          </cell>
        </row>
        <row r="658">
          <cell r="B658" t="str">
            <v>Maria McCree</v>
          </cell>
          <cell r="C658">
            <v>2149</v>
          </cell>
          <cell r="D658">
            <v>0.88419999999999999</v>
          </cell>
          <cell r="E658">
            <v>0.61319999999999997</v>
          </cell>
          <cell r="F658">
            <v>0.84750000000000003</v>
          </cell>
          <cell r="G658">
            <v>0.98719999999999997</v>
          </cell>
          <cell r="H658">
            <v>0.80220000000000002</v>
          </cell>
        </row>
        <row r="659">
          <cell r="B659" t="str">
            <v>Isaiah Parker</v>
          </cell>
          <cell r="C659">
            <v>2149</v>
          </cell>
          <cell r="D659">
            <v>0.88500000000000001</v>
          </cell>
          <cell r="E659">
            <v>0.72660000000000002</v>
          </cell>
          <cell r="F659">
            <v>0.90859999999999996</v>
          </cell>
          <cell r="G659">
            <v>0.99560000000000004</v>
          </cell>
          <cell r="H659">
            <v>0.85560000000000003</v>
          </cell>
        </row>
        <row r="660">
          <cell r="B660" t="str">
            <v>Akiva Fuller</v>
          </cell>
          <cell r="C660">
            <v>2148</v>
          </cell>
          <cell r="D660">
            <v>0.90580000000000005</v>
          </cell>
          <cell r="E660">
            <v>0.70350000000000001</v>
          </cell>
          <cell r="F660">
            <v>0.87519999999999998</v>
          </cell>
          <cell r="G660">
            <v>0.98970000000000002</v>
          </cell>
          <cell r="H660">
            <v>0.84430000000000005</v>
          </cell>
        </row>
        <row r="661">
          <cell r="B661" t="str">
            <v>Ryan Jackson</v>
          </cell>
          <cell r="C661">
            <v>2144</v>
          </cell>
          <cell r="D661">
            <v>0.80249999999999999</v>
          </cell>
          <cell r="E661">
            <v>0.66300000000000003</v>
          </cell>
          <cell r="F661">
            <v>0.85270000000000001</v>
          </cell>
          <cell r="G661">
            <v>0.99560000000000004</v>
          </cell>
          <cell r="H661">
            <v>0.79500000000000004</v>
          </cell>
        </row>
        <row r="662">
          <cell r="B662" t="str">
            <v>Jansen Williams</v>
          </cell>
          <cell r="C662">
            <v>2143</v>
          </cell>
          <cell r="D662">
            <v>0.8508</v>
          </cell>
          <cell r="E662">
            <v>0.6744</v>
          </cell>
          <cell r="F662">
            <v>0.84260000000000002</v>
          </cell>
          <cell r="G662">
            <v>0.99570000000000003</v>
          </cell>
          <cell r="H662">
            <v>0.80989999999999995</v>
          </cell>
        </row>
        <row r="663">
          <cell r="B663" t="str">
            <v>Denise James</v>
          </cell>
          <cell r="C663">
            <v>2143</v>
          </cell>
          <cell r="D663">
            <v>0.84140000000000004</v>
          </cell>
          <cell r="E663">
            <v>0.70699999999999996</v>
          </cell>
          <cell r="F663">
            <v>0.89590000000000003</v>
          </cell>
          <cell r="G663">
            <v>0.99360000000000004</v>
          </cell>
          <cell r="H663">
            <v>0.83260000000000001</v>
          </cell>
        </row>
        <row r="664">
          <cell r="B664" t="str">
            <v>Jasmine Miranda</v>
          </cell>
          <cell r="C664">
            <v>2140</v>
          </cell>
          <cell r="D664">
            <v>0.87270000000000003</v>
          </cell>
          <cell r="E664">
            <v>0.71870000000000001</v>
          </cell>
          <cell r="F664">
            <v>0.89410000000000001</v>
          </cell>
          <cell r="G664">
            <v>0.99160000000000004</v>
          </cell>
          <cell r="H664">
            <v>0.8448</v>
          </cell>
        </row>
        <row r="665">
          <cell r="B665" t="str">
            <v>Riah Willis</v>
          </cell>
          <cell r="C665">
            <v>2139</v>
          </cell>
          <cell r="D665">
            <v>0.82920000000000005</v>
          </cell>
          <cell r="E665">
            <v>0.6603</v>
          </cell>
          <cell r="F665">
            <v>0.89580000000000004</v>
          </cell>
          <cell r="G665">
            <v>0.99660000000000004</v>
          </cell>
          <cell r="H665">
            <v>0.81530000000000002</v>
          </cell>
        </row>
        <row r="666">
          <cell r="B666" t="str">
            <v>Dana Hamilton</v>
          </cell>
          <cell r="C666">
            <v>2139</v>
          </cell>
          <cell r="D666">
            <v>0.98009999999999997</v>
          </cell>
          <cell r="E666">
            <v>0.70599999999999996</v>
          </cell>
          <cell r="F666">
            <v>0.90239999999999998</v>
          </cell>
          <cell r="G666">
            <v>0.99609999999999999</v>
          </cell>
          <cell r="H666">
            <v>0.87619999999999998</v>
          </cell>
        </row>
        <row r="667">
          <cell r="B667" t="str">
            <v>Omar Castro</v>
          </cell>
          <cell r="C667">
            <v>2136</v>
          </cell>
          <cell r="D667">
            <v>0.87549999999999994</v>
          </cell>
          <cell r="E667">
            <v>0.71319999999999995</v>
          </cell>
          <cell r="F667">
            <v>0.85829999999999995</v>
          </cell>
          <cell r="G667">
            <v>0.98960000000000004</v>
          </cell>
          <cell r="H667">
            <v>0.83309999999999995</v>
          </cell>
        </row>
        <row r="668">
          <cell r="B668" t="str">
            <v>Monisha Timmons</v>
          </cell>
          <cell r="C668">
            <v>2133</v>
          </cell>
          <cell r="D668">
            <v>0.72989999999999999</v>
          </cell>
          <cell r="E668">
            <v>0.66610000000000003</v>
          </cell>
          <cell r="F668">
            <v>0.87160000000000004</v>
          </cell>
          <cell r="G668">
            <v>0.9859</v>
          </cell>
          <cell r="H668">
            <v>0.77890000000000004</v>
          </cell>
        </row>
        <row r="669">
          <cell r="B669" t="str">
            <v>Laura Mendosa</v>
          </cell>
          <cell r="C669">
            <v>2132</v>
          </cell>
          <cell r="D669">
            <v>0.9264</v>
          </cell>
          <cell r="E669">
            <v>0.74299999999999999</v>
          </cell>
          <cell r="F669">
            <v>0.9163</v>
          </cell>
          <cell r="G669">
            <v>0.99529999999999996</v>
          </cell>
          <cell r="H669">
            <v>0.87519999999999998</v>
          </cell>
        </row>
        <row r="670">
          <cell r="B670" t="str">
            <v>Racquel Cisneros</v>
          </cell>
          <cell r="C670">
            <v>2131</v>
          </cell>
          <cell r="D670">
            <v>0.90080000000000005</v>
          </cell>
          <cell r="E670">
            <v>0.68340000000000001</v>
          </cell>
          <cell r="F670">
            <v>0.89580000000000004</v>
          </cell>
          <cell r="G670">
            <v>0.99199999999999999</v>
          </cell>
          <cell r="H670">
            <v>0.84319999999999995</v>
          </cell>
        </row>
        <row r="671">
          <cell r="B671" t="str">
            <v>Cary Newell</v>
          </cell>
          <cell r="C671">
            <v>2130</v>
          </cell>
          <cell r="D671">
            <v>0.85229999999999995</v>
          </cell>
          <cell r="E671">
            <v>0.71630000000000005</v>
          </cell>
          <cell r="F671">
            <v>0.90329999999999999</v>
          </cell>
          <cell r="G671">
            <v>0.98440000000000005</v>
          </cell>
          <cell r="H671">
            <v>0.84</v>
          </cell>
        </row>
        <row r="672">
          <cell r="B672" t="str">
            <v>Lakarla Brooks</v>
          </cell>
          <cell r="C672">
            <v>2128</v>
          </cell>
          <cell r="D672">
            <v>0.94389999999999996</v>
          </cell>
          <cell r="E672">
            <v>0.70269999999999999</v>
          </cell>
          <cell r="F672">
            <v>0.92369999999999997</v>
          </cell>
          <cell r="G672">
            <v>0.98680000000000001</v>
          </cell>
          <cell r="H672">
            <v>0.86980000000000002</v>
          </cell>
        </row>
        <row r="673">
          <cell r="B673" t="str">
            <v>Lisa Slaton</v>
          </cell>
          <cell r="C673">
            <v>2128</v>
          </cell>
          <cell r="D673">
            <v>0.8679</v>
          </cell>
          <cell r="E673">
            <v>0.67110000000000003</v>
          </cell>
          <cell r="F673">
            <v>0.92390000000000005</v>
          </cell>
          <cell r="G673">
            <v>0.99170000000000003</v>
          </cell>
          <cell r="H673">
            <v>0.83799999999999997</v>
          </cell>
        </row>
        <row r="674">
          <cell r="B674" t="str">
            <v>Jennifer Matias</v>
          </cell>
          <cell r="C674">
            <v>2127</v>
          </cell>
          <cell r="D674">
            <v>0.80200000000000005</v>
          </cell>
          <cell r="E674">
            <v>0.64980000000000004</v>
          </cell>
          <cell r="F674">
            <v>0.84970000000000001</v>
          </cell>
          <cell r="G674">
            <v>0.9899</v>
          </cell>
          <cell r="H674">
            <v>0.78949999999999998</v>
          </cell>
        </row>
        <row r="675">
          <cell r="B675" t="str">
            <v>Angelica Holmes</v>
          </cell>
          <cell r="C675">
            <v>2126</v>
          </cell>
          <cell r="D675">
            <v>0.86209999999999998</v>
          </cell>
          <cell r="E675">
            <v>0.68289999999999995</v>
          </cell>
          <cell r="F675">
            <v>0.92120000000000002</v>
          </cell>
          <cell r="G675">
            <v>0.99080000000000001</v>
          </cell>
          <cell r="H675">
            <v>0.83889999999999998</v>
          </cell>
        </row>
        <row r="676">
          <cell r="B676" t="str">
            <v>Dakota Harrison</v>
          </cell>
          <cell r="C676">
            <v>2124</v>
          </cell>
          <cell r="D676">
            <v>0.70489999999999997</v>
          </cell>
          <cell r="E676">
            <v>0.69069999999999998</v>
          </cell>
          <cell r="F676">
            <v>0.83850000000000002</v>
          </cell>
          <cell r="G676">
            <v>0.98780000000000001</v>
          </cell>
          <cell r="H676">
            <v>0.76900000000000002</v>
          </cell>
        </row>
        <row r="677">
          <cell r="B677" t="str">
            <v>Ebony Simmons</v>
          </cell>
          <cell r="C677">
            <v>2122</v>
          </cell>
          <cell r="D677">
            <v>0.91979999999999995</v>
          </cell>
          <cell r="E677">
            <v>0.68569999999999998</v>
          </cell>
          <cell r="F677">
            <v>0.92989999999999995</v>
          </cell>
          <cell r="G677">
            <v>0.99419999999999997</v>
          </cell>
          <cell r="H677">
            <v>0.86009999999999998</v>
          </cell>
        </row>
        <row r="678">
          <cell r="B678" t="str">
            <v>Travis Hirchert</v>
          </cell>
          <cell r="C678">
            <v>2121</v>
          </cell>
          <cell r="D678">
            <v>0.74319999999999997</v>
          </cell>
          <cell r="E678">
            <v>0.61219999999999997</v>
          </cell>
          <cell r="F678">
            <v>0.74590000000000001</v>
          </cell>
          <cell r="G678">
            <v>0.99350000000000005</v>
          </cell>
          <cell r="H678">
            <v>0.72970000000000002</v>
          </cell>
        </row>
        <row r="679">
          <cell r="B679" t="str">
            <v>Renejah Palmer</v>
          </cell>
          <cell r="C679">
            <v>2121</v>
          </cell>
          <cell r="D679">
            <v>0.9032</v>
          </cell>
          <cell r="E679">
            <v>0.71450000000000002</v>
          </cell>
          <cell r="F679">
            <v>0.85850000000000004</v>
          </cell>
          <cell r="G679">
            <v>0.99429999999999996</v>
          </cell>
          <cell r="H679">
            <v>0.84230000000000005</v>
          </cell>
        </row>
        <row r="680">
          <cell r="B680" t="str">
            <v>Sonya Waters</v>
          </cell>
          <cell r="C680">
            <v>2118</v>
          </cell>
          <cell r="D680">
            <v>0.78280000000000005</v>
          </cell>
          <cell r="E680">
            <v>0.6401</v>
          </cell>
          <cell r="F680">
            <v>0.89439999999999997</v>
          </cell>
          <cell r="G680">
            <v>0.98599999999999999</v>
          </cell>
          <cell r="H680">
            <v>0.79379999999999995</v>
          </cell>
        </row>
        <row r="681">
          <cell r="B681" t="str">
            <v>Ashley Santiago</v>
          </cell>
          <cell r="C681">
            <v>2118</v>
          </cell>
          <cell r="D681">
            <v>0.83879999999999999</v>
          </cell>
          <cell r="E681">
            <v>0.70409999999999995</v>
          </cell>
          <cell r="F681">
            <v>0.9375</v>
          </cell>
          <cell r="G681">
            <v>0.99560000000000004</v>
          </cell>
          <cell r="H681">
            <v>0.84370000000000001</v>
          </cell>
        </row>
        <row r="682">
          <cell r="B682" t="str">
            <v>Meredith Harris</v>
          </cell>
          <cell r="C682">
            <v>2115</v>
          </cell>
          <cell r="D682">
            <v>0.90759999999999996</v>
          </cell>
          <cell r="E682">
            <v>0.73929999999999996</v>
          </cell>
          <cell r="F682">
            <v>0.93279999999999996</v>
          </cell>
          <cell r="G682">
            <v>0.99399999999999999</v>
          </cell>
          <cell r="H682">
            <v>0.87329999999999997</v>
          </cell>
        </row>
        <row r="683">
          <cell r="B683" t="str">
            <v>Belinda Barrera</v>
          </cell>
          <cell r="C683">
            <v>2114</v>
          </cell>
          <cell r="D683">
            <v>0.31469999999999998</v>
          </cell>
          <cell r="E683">
            <v>0.57469999999999999</v>
          </cell>
          <cell r="F683">
            <v>0.79490000000000005</v>
          </cell>
          <cell r="G683">
            <v>0.97519999999999996</v>
          </cell>
          <cell r="H683">
            <v>0.6028</v>
          </cell>
        </row>
        <row r="684">
          <cell r="B684" t="str">
            <v>Amber Owen</v>
          </cell>
          <cell r="C684">
            <v>2113</v>
          </cell>
          <cell r="D684">
            <v>0.86929999999999996</v>
          </cell>
          <cell r="E684">
            <v>0.70450000000000002</v>
          </cell>
          <cell r="F684">
            <v>0.8921</v>
          </cell>
          <cell r="G684">
            <v>0.98770000000000002</v>
          </cell>
          <cell r="H684">
            <v>0.83850000000000002</v>
          </cell>
        </row>
        <row r="685">
          <cell r="B685" t="str">
            <v>Jewel Denbo</v>
          </cell>
          <cell r="C685">
            <v>2112</v>
          </cell>
          <cell r="D685">
            <v>0.90239999999999998</v>
          </cell>
          <cell r="E685">
            <v>0.6653</v>
          </cell>
          <cell r="F685">
            <v>0.88180000000000003</v>
          </cell>
          <cell r="G685">
            <v>0.99609999999999999</v>
          </cell>
          <cell r="H685">
            <v>0.83440000000000003</v>
          </cell>
        </row>
        <row r="686">
          <cell r="B686" t="str">
            <v>Heather Rodriguez</v>
          </cell>
          <cell r="C686">
            <v>2109</v>
          </cell>
          <cell r="D686">
            <v>0.77459999999999996</v>
          </cell>
          <cell r="E686">
            <v>0.68969999999999998</v>
          </cell>
          <cell r="F686">
            <v>0.88219999999999998</v>
          </cell>
          <cell r="G686">
            <v>0.97799999999999998</v>
          </cell>
          <cell r="H686">
            <v>0.80169999999999997</v>
          </cell>
        </row>
        <row r="687">
          <cell r="B687" t="str">
            <v>Dianna Hardy</v>
          </cell>
          <cell r="C687">
            <v>2108</v>
          </cell>
          <cell r="D687">
            <v>0.83989999999999998</v>
          </cell>
          <cell r="E687">
            <v>0.70389999999999997</v>
          </cell>
          <cell r="F687">
            <v>0.8881</v>
          </cell>
          <cell r="G687">
            <v>0.99260000000000004</v>
          </cell>
          <cell r="H687">
            <v>0.82879999999999998</v>
          </cell>
        </row>
        <row r="688">
          <cell r="B688" t="str">
            <v>Shermeka Swayzer</v>
          </cell>
          <cell r="C688">
            <v>2107</v>
          </cell>
          <cell r="D688">
            <v>0.85809999999999997</v>
          </cell>
          <cell r="E688">
            <v>0.66879999999999995</v>
          </cell>
          <cell r="F688">
            <v>0.86419999999999997</v>
          </cell>
          <cell r="G688">
            <v>0.99139999999999995</v>
          </cell>
          <cell r="H688">
            <v>0.8165</v>
          </cell>
        </row>
        <row r="689">
          <cell r="B689" t="str">
            <v>Emoni Irvin</v>
          </cell>
          <cell r="C689">
            <v>2105</v>
          </cell>
          <cell r="D689">
            <v>0.76600000000000001</v>
          </cell>
          <cell r="E689">
            <v>0.73119999999999996</v>
          </cell>
          <cell r="F689">
            <v>0.93500000000000005</v>
          </cell>
          <cell r="G689">
            <v>0.99170000000000003</v>
          </cell>
          <cell r="H689">
            <v>0.82879999999999998</v>
          </cell>
        </row>
        <row r="690">
          <cell r="B690" t="str">
            <v>Emma Hurtado</v>
          </cell>
          <cell r="C690">
            <v>2104</v>
          </cell>
          <cell r="D690">
            <v>0.76249999999999996</v>
          </cell>
          <cell r="E690">
            <v>0.66459999999999997</v>
          </cell>
          <cell r="F690">
            <v>0.91549999999999998</v>
          </cell>
          <cell r="G690">
            <v>0.99439999999999995</v>
          </cell>
          <cell r="H690">
            <v>0.80220000000000002</v>
          </cell>
        </row>
        <row r="691">
          <cell r="B691" t="str">
            <v>Kayla Anguiano</v>
          </cell>
          <cell r="C691">
            <v>2104</v>
          </cell>
          <cell r="D691">
            <v>0.746</v>
          </cell>
          <cell r="E691">
            <v>0.6371</v>
          </cell>
          <cell r="F691">
            <v>0.87409999999999999</v>
          </cell>
          <cell r="G691">
            <v>0.99129999999999996</v>
          </cell>
          <cell r="H691">
            <v>0.77629999999999999</v>
          </cell>
        </row>
        <row r="692">
          <cell r="B692" t="str">
            <v>Kara Mondy</v>
          </cell>
          <cell r="C692">
            <v>2102</v>
          </cell>
          <cell r="D692">
            <v>0.8417</v>
          </cell>
          <cell r="E692">
            <v>0.66739999999999999</v>
          </cell>
          <cell r="F692">
            <v>0.85589999999999999</v>
          </cell>
          <cell r="G692">
            <v>0.99639999999999995</v>
          </cell>
          <cell r="H692">
            <v>0.80920000000000003</v>
          </cell>
        </row>
        <row r="693">
          <cell r="B693" t="str">
            <v>Dianna Kalisch</v>
          </cell>
          <cell r="C693">
            <v>2101</v>
          </cell>
          <cell r="D693">
            <v>0.87909999999999999</v>
          </cell>
          <cell r="E693">
            <v>0.67889999999999995</v>
          </cell>
          <cell r="F693">
            <v>0.91859999999999997</v>
          </cell>
          <cell r="G693">
            <v>0.99329999999999996</v>
          </cell>
          <cell r="H693">
            <v>0.84230000000000005</v>
          </cell>
        </row>
        <row r="694">
          <cell r="B694" t="str">
            <v>Claudia Bruce</v>
          </cell>
          <cell r="C694">
            <v>2099</v>
          </cell>
          <cell r="D694">
            <v>0.92689999999999995</v>
          </cell>
          <cell r="E694">
            <v>0.72519999999999996</v>
          </cell>
          <cell r="F694">
            <v>0.92859999999999998</v>
          </cell>
          <cell r="G694">
            <v>0.99590000000000001</v>
          </cell>
          <cell r="H694">
            <v>0.87380000000000002</v>
          </cell>
        </row>
        <row r="695">
          <cell r="B695" t="str">
            <v>Judi Mcgee</v>
          </cell>
          <cell r="C695">
            <v>2099</v>
          </cell>
          <cell r="D695">
            <v>0.9375</v>
          </cell>
          <cell r="E695">
            <v>0.69699999999999995</v>
          </cell>
          <cell r="F695">
            <v>0.90359999999999996</v>
          </cell>
          <cell r="G695">
            <v>0.99429999999999996</v>
          </cell>
          <cell r="H695">
            <v>0.8609</v>
          </cell>
        </row>
        <row r="696">
          <cell r="B696" t="str">
            <v>Trina Howard</v>
          </cell>
          <cell r="C696">
            <v>2097</v>
          </cell>
          <cell r="D696">
            <v>0.8417</v>
          </cell>
          <cell r="E696">
            <v>0.67369999999999997</v>
          </cell>
          <cell r="F696">
            <v>0.90980000000000005</v>
          </cell>
          <cell r="G696">
            <v>0.99199999999999999</v>
          </cell>
          <cell r="H696">
            <v>0.82679999999999998</v>
          </cell>
        </row>
        <row r="697">
          <cell r="B697" t="str">
            <v>Koashea Thorne</v>
          </cell>
          <cell r="C697">
            <v>2096</v>
          </cell>
          <cell r="D697">
            <v>0.87660000000000005</v>
          </cell>
          <cell r="E697">
            <v>0.78649999999999998</v>
          </cell>
          <cell r="F697">
            <v>0.90569999999999995</v>
          </cell>
          <cell r="G697">
            <v>0.99439999999999995</v>
          </cell>
          <cell r="H697">
            <v>0.87009999999999998</v>
          </cell>
        </row>
        <row r="698">
          <cell r="B698" t="str">
            <v>Edith Hermes</v>
          </cell>
          <cell r="C698">
            <v>2094</v>
          </cell>
          <cell r="D698">
            <v>0.97260000000000002</v>
          </cell>
          <cell r="E698">
            <v>0.69210000000000005</v>
          </cell>
          <cell r="F698">
            <v>0.93279999999999996</v>
          </cell>
          <cell r="G698">
            <v>0.995</v>
          </cell>
          <cell r="H698">
            <v>0.87880000000000003</v>
          </cell>
        </row>
        <row r="699">
          <cell r="B699" t="str">
            <v>Heather Cash</v>
          </cell>
          <cell r="C699">
            <v>2093</v>
          </cell>
          <cell r="D699">
            <v>0.97330000000000005</v>
          </cell>
          <cell r="E699">
            <v>0.71740000000000004</v>
          </cell>
          <cell r="F699">
            <v>0.92710000000000004</v>
          </cell>
          <cell r="G699">
            <v>0.99299999999999999</v>
          </cell>
          <cell r="H699">
            <v>0.88460000000000005</v>
          </cell>
        </row>
        <row r="700">
          <cell r="B700" t="str">
            <v>Amber Maugham</v>
          </cell>
          <cell r="C700">
            <v>2088</v>
          </cell>
          <cell r="D700">
            <v>0.94179999999999997</v>
          </cell>
          <cell r="E700">
            <v>0.74180000000000001</v>
          </cell>
          <cell r="F700">
            <v>0.93330000000000002</v>
          </cell>
          <cell r="G700">
            <v>0.99629999999999996</v>
          </cell>
          <cell r="H700">
            <v>0.88470000000000004</v>
          </cell>
        </row>
        <row r="701">
          <cell r="B701" t="str">
            <v>Twoneisha Cook</v>
          </cell>
          <cell r="C701">
            <v>2088</v>
          </cell>
          <cell r="D701">
            <v>0.87749999999999995</v>
          </cell>
          <cell r="E701">
            <v>0.66180000000000005</v>
          </cell>
          <cell r="F701">
            <v>0.87109999999999999</v>
          </cell>
          <cell r="G701">
            <v>0.99139999999999995</v>
          </cell>
          <cell r="H701">
            <v>0.82230000000000003</v>
          </cell>
        </row>
        <row r="702">
          <cell r="B702" t="str">
            <v>Jean Shaw</v>
          </cell>
          <cell r="C702">
            <v>2088</v>
          </cell>
          <cell r="D702">
            <v>0.87219999999999998</v>
          </cell>
          <cell r="E702">
            <v>0.67920000000000003</v>
          </cell>
          <cell r="F702">
            <v>0.86270000000000002</v>
          </cell>
          <cell r="G702">
            <v>0.99439999999999995</v>
          </cell>
          <cell r="H702">
            <v>0.82369999999999999</v>
          </cell>
        </row>
        <row r="703">
          <cell r="B703" t="str">
            <v>Gloribel Garcia</v>
          </cell>
          <cell r="C703">
            <v>2087</v>
          </cell>
          <cell r="D703">
            <v>0.8609</v>
          </cell>
          <cell r="E703">
            <v>0.65910000000000002</v>
          </cell>
          <cell r="F703">
            <v>0.83730000000000004</v>
          </cell>
          <cell r="G703">
            <v>0.98980000000000001</v>
          </cell>
          <cell r="H703">
            <v>0.80620000000000003</v>
          </cell>
        </row>
        <row r="704">
          <cell r="B704" t="str">
            <v>Oshavonte' Smalls</v>
          </cell>
          <cell r="C704">
            <v>2086</v>
          </cell>
          <cell r="D704">
            <v>0.92090000000000005</v>
          </cell>
          <cell r="E704">
            <v>0.7006</v>
          </cell>
          <cell r="F704">
            <v>0.92620000000000002</v>
          </cell>
          <cell r="G704">
            <v>0.9869</v>
          </cell>
          <cell r="H704">
            <v>0.86299999999999999</v>
          </cell>
        </row>
        <row r="705">
          <cell r="B705" t="str">
            <v>Lesly Lizama</v>
          </cell>
          <cell r="C705">
            <v>2084</v>
          </cell>
          <cell r="D705">
            <v>0.81710000000000005</v>
          </cell>
          <cell r="E705">
            <v>0.72030000000000005</v>
          </cell>
          <cell r="F705">
            <v>0.9224</v>
          </cell>
          <cell r="G705">
            <v>0.99019999999999997</v>
          </cell>
          <cell r="H705">
            <v>0.83699999999999997</v>
          </cell>
        </row>
        <row r="706">
          <cell r="B706" t="str">
            <v>Donna Kelford</v>
          </cell>
          <cell r="C706">
            <v>2082</v>
          </cell>
          <cell r="D706">
            <v>0.95330000000000004</v>
          </cell>
          <cell r="E706">
            <v>0.73599999999999999</v>
          </cell>
          <cell r="F706">
            <v>0.92120000000000002</v>
          </cell>
          <cell r="G706">
            <v>0.99309999999999998</v>
          </cell>
          <cell r="H706">
            <v>0.88239999999999996</v>
          </cell>
        </row>
        <row r="707">
          <cell r="B707" t="str">
            <v>Angela Morgan</v>
          </cell>
          <cell r="C707">
            <v>2082</v>
          </cell>
          <cell r="D707">
            <v>0.90349999999999997</v>
          </cell>
          <cell r="E707">
            <v>0.68589999999999995</v>
          </cell>
          <cell r="F707">
            <v>0.93330000000000002</v>
          </cell>
          <cell r="G707">
            <v>0.99629999999999996</v>
          </cell>
          <cell r="H707">
            <v>0.85640000000000005</v>
          </cell>
        </row>
        <row r="708">
          <cell r="B708" t="str">
            <v>Yvonne Ramos</v>
          </cell>
          <cell r="C708">
            <v>2081</v>
          </cell>
          <cell r="D708">
            <v>0.2535</v>
          </cell>
          <cell r="E708">
            <v>0.61850000000000005</v>
          </cell>
          <cell r="F708">
            <v>0.81</v>
          </cell>
          <cell r="G708">
            <v>0.97409999999999997</v>
          </cell>
          <cell r="H708">
            <v>0.60199999999999998</v>
          </cell>
        </row>
        <row r="709">
          <cell r="B709" t="str">
            <v>Diana Toscano</v>
          </cell>
          <cell r="C709">
            <v>2080</v>
          </cell>
          <cell r="D709">
            <v>0.32940000000000003</v>
          </cell>
          <cell r="E709">
            <v>0.61129999999999995</v>
          </cell>
          <cell r="F709">
            <v>0.80010000000000003</v>
          </cell>
          <cell r="G709">
            <v>0.97629999999999995</v>
          </cell>
          <cell r="H709">
            <v>0.61990000000000001</v>
          </cell>
        </row>
        <row r="710">
          <cell r="B710" t="str">
            <v>Briann Castillo</v>
          </cell>
          <cell r="C710">
            <v>2079</v>
          </cell>
          <cell r="D710">
            <v>0.77659999999999996</v>
          </cell>
          <cell r="E710">
            <v>0.68140000000000001</v>
          </cell>
          <cell r="F710">
            <v>0.91269999999999996</v>
          </cell>
          <cell r="G710">
            <v>0.99119999999999997</v>
          </cell>
          <cell r="H710">
            <v>0.81030000000000002</v>
          </cell>
        </row>
        <row r="711">
          <cell r="B711" t="str">
            <v>Yvonne Barbee</v>
          </cell>
          <cell r="C711">
            <v>2079</v>
          </cell>
          <cell r="D711">
            <v>0.96020000000000005</v>
          </cell>
          <cell r="E711">
            <v>0.7</v>
          </cell>
          <cell r="F711">
            <v>0.8982</v>
          </cell>
          <cell r="G711">
            <v>0.99490000000000001</v>
          </cell>
          <cell r="H711">
            <v>0.86699999999999999</v>
          </cell>
        </row>
        <row r="712">
          <cell r="B712" t="str">
            <v>Noel Alvarado</v>
          </cell>
          <cell r="C712">
            <v>2079</v>
          </cell>
          <cell r="D712">
            <v>0.94889999999999997</v>
          </cell>
          <cell r="E712">
            <v>0.71160000000000001</v>
          </cell>
          <cell r="F712">
            <v>0.85340000000000005</v>
          </cell>
          <cell r="G712">
            <v>0.99329999999999996</v>
          </cell>
          <cell r="H712">
            <v>0.85350000000000004</v>
          </cell>
        </row>
        <row r="713">
          <cell r="B713" t="str">
            <v>Talitha Sams</v>
          </cell>
          <cell r="C713">
            <v>2078</v>
          </cell>
          <cell r="D713">
            <v>0.93869999999999998</v>
          </cell>
          <cell r="E713">
            <v>0.68110000000000004</v>
          </cell>
          <cell r="F713">
            <v>0.88639999999999997</v>
          </cell>
          <cell r="G713">
            <v>0.98809999999999998</v>
          </cell>
          <cell r="H713">
            <v>0.85070000000000001</v>
          </cell>
        </row>
        <row r="714">
          <cell r="B714" t="str">
            <v>Brandon Johnson</v>
          </cell>
          <cell r="C714">
            <v>2076</v>
          </cell>
          <cell r="D714">
            <v>0.89370000000000005</v>
          </cell>
          <cell r="E714">
            <v>0.65429999999999999</v>
          </cell>
          <cell r="F714">
            <v>0.90149999999999997</v>
          </cell>
          <cell r="G714">
            <v>0.99170000000000003</v>
          </cell>
          <cell r="H714">
            <v>0.83399999999999996</v>
          </cell>
        </row>
        <row r="715">
          <cell r="B715" t="str">
            <v>Esperanza Garcia</v>
          </cell>
          <cell r="C715">
            <v>2075</v>
          </cell>
          <cell r="D715">
            <v>0.38269999999999998</v>
          </cell>
          <cell r="E715">
            <v>0.68789999999999996</v>
          </cell>
          <cell r="F715">
            <v>0.77539999999999998</v>
          </cell>
          <cell r="G715">
            <v>0.97389999999999999</v>
          </cell>
          <cell r="H715">
            <v>0.6512</v>
          </cell>
        </row>
        <row r="716">
          <cell r="B716" t="str">
            <v>Emerald Britton</v>
          </cell>
          <cell r="C716">
            <v>2072</v>
          </cell>
          <cell r="D716">
            <v>0.96740000000000004</v>
          </cell>
          <cell r="E716">
            <v>0.66749999999999998</v>
          </cell>
          <cell r="F716">
            <v>0.92010000000000003</v>
          </cell>
          <cell r="G716">
            <v>0.99539999999999995</v>
          </cell>
          <cell r="H716">
            <v>0.86599999999999999</v>
          </cell>
        </row>
        <row r="717">
          <cell r="B717" t="str">
            <v>Kendra Hadley</v>
          </cell>
          <cell r="C717">
            <v>2067</v>
          </cell>
          <cell r="D717">
            <v>0.92510000000000003</v>
          </cell>
          <cell r="E717">
            <v>0.65710000000000002</v>
          </cell>
          <cell r="F717">
            <v>0.87239999999999995</v>
          </cell>
          <cell r="G717">
            <v>0.99850000000000005</v>
          </cell>
          <cell r="H717">
            <v>0.83630000000000004</v>
          </cell>
        </row>
        <row r="718">
          <cell r="B718" t="str">
            <v>Latarai Hibbler</v>
          </cell>
          <cell r="C718">
            <v>2067</v>
          </cell>
          <cell r="D718">
            <v>0.87609999999999999</v>
          </cell>
          <cell r="E718">
            <v>0.6341</v>
          </cell>
          <cell r="F718">
            <v>0.80779999999999996</v>
          </cell>
          <cell r="G718">
            <v>0.99339999999999995</v>
          </cell>
          <cell r="H718">
            <v>0.79469999999999996</v>
          </cell>
        </row>
        <row r="719">
          <cell r="B719" t="str">
            <v>Ronice Nash</v>
          </cell>
          <cell r="C719">
            <v>2067</v>
          </cell>
          <cell r="D719">
            <v>0.81330000000000002</v>
          </cell>
          <cell r="E719">
            <v>0.66020000000000001</v>
          </cell>
          <cell r="F719">
            <v>0.89090000000000003</v>
          </cell>
          <cell r="G719">
            <v>0.99180000000000001</v>
          </cell>
          <cell r="H719">
            <v>0.8085</v>
          </cell>
        </row>
        <row r="720">
          <cell r="B720" t="str">
            <v>Blanca Valdez</v>
          </cell>
          <cell r="C720">
            <v>2066</v>
          </cell>
          <cell r="D720">
            <v>0.81969999999999998</v>
          </cell>
          <cell r="E720">
            <v>0.66590000000000005</v>
          </cell>
          <cell r="F720">
            <v>0.8901</v>
          </cell>
          <cell r="G720">
            <v>0.99119999999999997</v>
          </cell>
          <cell r="H720">
            <v>0.81179999999999997</v>
          </cell>
        </row>
        <row r="721">
          <cell r="B721" t="str">
            <v>Marlencia Dotson</v>
          </cell>
          <cell r="C721">
            <v>2064</v>
          </cell>
          <cell r="D721">
            <v>0.87190000000000001</v>
          </cell>
          <cell r="E721">
            <v>0.66800000000000004</v>
          </cell>
          <cell r="F721">
            <v>0.79710000000000003</v>
          </cell>
          <cell r="G721">
            <v>0.9929</v>
          </cell>
          <cell r="H721">
            <v>0.8004</v>
          </cell>
        </row>
        <row r="722">
          <cell r="B722" t="str">
            <v>Denita Roberts</v>
          </cell>
          <cell r="C722">
            <v>2064</v>
          </cell>
          <cell r="D722">
            <v>0.96699999999999997</v>
          </cell>
          <cell r="E722">
            <v>0.68979999999999997</v>
          </cell>
          <cell r="F722">
            <v>0.86950000000000005</v>
          </cell>
          <cell r="G722">
            <v>0.99050000000000005</v>
          </cell>
          <cell r="H722">
            <v>0.8569</v>
          </cell>
        </row>
        <row r="723">
          <cell r="B723" t="str">
            <v>Denise Jarvis</v>
          </cell>
          <cell r="C723">
            <v>2062</v>
          </cell>
          <cell r="D723">
            <v>0.8629</v>
          </cell>
          <cell r="E723">
            <v>0.80069999999999997</v>
          </cell>
          <cell r="F723">
            <v>0.9456</v>
          </cell>
          <cell r="G723">
            <v>0.99350000000000005</v>
          </cell>
          <cell r="H723">
            <v>0.8821</v>
          </cell>
        </row>
        <row r="724">
          <cell r="B724" t="str">
            <v>Kiarra Grandison</v>
          </cell>
          <cell r="C724">
            <v>2061</v>
          </cell>
          <cell r="D724">
            <v>0.95099999999999996</v>
          </cell>
          <cell r="E724">
            <v>0.72570000000000001</v>
          </cell>
          <cell r="F724">
            <v>0.93069999999999997</v>
          </cell>
          <cell r="G724">
            <v>0.99529999999999996</v>
          </cell>
          <cell r="H724">
            <v>0.88170000000000004</v>
          </cell>
        </row>
        <row r="725">
          <cell r="B725" t="str">
            <v>Jaylin Smallwood</v>
          </cell>
          <cell r="C725">
            <v>2058</v>
          </cell>
          <cell r="D725">
            <v>0.7802</v>
          </cell>
          <cell r="E725">
            <v>0.69930000000000003</v>
          </cell>
          <cell r="F725">
            <v>0.92849999999999999</v>
          </cell>
          <cell r="G725">
            <v>0.99170000000000003</v>
          </cell>
          <cell r="H725">
            <v>0.8216</v>
          </cell>
        </row>
        <row r="726">
          <cell r="B726" t="str">
            <v>Gabriel Mena-Rivera</v>
          </cell>
          <cell r="C726">
            <v>2053</v>
          </cell>
          <cell r="D726">
            <v>0.83509999999999995</v>
          </cell>
          <cell r="E726">
            <v>0.68569999999999998</v>
          </cell>
          <cell r="F726">
            <v>0.87150000000000005</v>
          </cell>
          <cell r="G726">
            <v>0.98050000000000004</v>
          </cell>
          <cell r="H726">
            <v>0.81569999999999998</v>
          </cell>
        </row>
        <row r="727">
          <cell r="B727" t="str">
            <v>Israel Carrillo</v>
          </cell>
          <cell r="C727">
            <v>2053</v>
          </cell>
          <cell r="D727">
            <v>0.73250000000000004</v>
          </cell>
          <cell r="E727">
            <v>0.69059999999999999</v>
          </cell>
          <cell r="F727">
            <v>0.79039999999999999</v>
          </cell>
          <cell r="G727">
            <v>0.98899999999999999</v>
          </cell>
          <cell r="H727">
            <v>0.76300000000000001</v>
          </cell>
        </row>
        <row r="728">
          <cell r="B728" t="str">
            <v>Lana ZeinElabdin</v>
          </cell>
          <cell r="C728">
            <v>2051</v>
          </cell>
          <cell r="D728">
            <v>0.81779999999999997</v>
          </cell>
          <cell r="E728">
            <v>0.69810000000000005</v>
          </cell>
          <cell r="F728">
            <v>0.89059999999999995</v>
          </cell>
          <cell r="G728">
            <v>0.99270000000000003</v>
          </cell>
          <cell r="H728">
            <v>0.82120000000000004</v>
          </cell>
        </row>
        <row r="729">
          <cell r="B729" t="str">
            <v>Shimona Edwards</v>
          </cell>
          <cell r="C729">
            <v>2050</v>
          </cell>
          <cell r="D729">
            <v>0.94059999999999999</v>
          </cell>
          <cell r="E729">
            <v>0.71160000000000001</v>
          </cell>
          <cell r="F729">
            <v>0.93969999999999998</v>
          </cell>
          <cell r="G729">
            <v>0.99570000000000003</v>
          </cell>
          <cell r="H729">
            <v>0.87709999999999999</v>
          </cell>
        </row>
        <row r="730">
          <cell r="B730" t="str">
            <v>Daisy Cruz-Perez</v>
          </cell>
          <cell r="C730">
            <v>2048</v>
          </cell>
          <cell r="D730">
            <v>0.87270000000000003</v>
          </cell>
          <cell r="E730">
            <v>0.66539999999999999</v>
          </cell>
          <cell r="F730">
            <v>0.87929999999999997</v>
          </cell>
          <cell r="G730">
            <v>0.99509999999999998</v>
          </cell>
          <cell r="H730">
            <v>0.82469999999999999</v>
          </cell>
        </row>
        <row r="731">
          <cell r="B731" t="str">
            <v>Breona Hill</v>
          </cell>
          <cell r="C731">
            <v>2046</v>
          </cell>
          <cell r="D731">
            <v>0.96740000000000004</v>
          </cell>
          <cell r="E731">
            <v>0.75270000000000004</v>
          </cell>
          <cell r="F731">
            <v>0.93610000000000004</v>
          </cell>
          <cell r="G731">
            <v>0.99650000000000005</v>
          </cell>
          <cell r="H731">
            <v>0.89649999999999996</v>
          </cell>
        </row>
        <row r="732">
          <cell r="B732" t="str">
            <v>Della Kennedy</v>
          </cell>
          <cell r="C732">
            <v>2043</v>
          </cell>
          <cell r="D732">
            <v>0.90269999999999995</v>
          </cell>
          <cell r="E732">
            <v>0.67789999999999995</v>
          </cell>
          <cell r="F732">
            <v>0.91949999999999998</v>
          </cell>
          <cell r="G732">
            <v>0.99409999999999998</v>
          </cell>
          <cell r="H732">
            <v>0.84940000000000004</v>
          </cell>
        </row>
        <row r="733">
          <cell r="B733" t="str">
            <v>Mikale Selby</v>
          </cell>
          <cell r="C733">
            <v>2041</v>
          </cell>
          <cell r="D733">
            <v>0.93869999999999998</v>
          </cell>
          <cell r="E733">
            <v>0.69220000000000004</v>
          </cell>
          <cell r="F733">
            <v>0.92100000000000004</v>
          </cell>
          <cell r="G733">
            <v>0.996</v>
          </cell>
          <cell r="H733">
            <v>0.86519999999999997</v>
          </cell>
        </row>
        <row r="734">
          <cell r="B734" t="str">
            <v>Aleia Perrino</v>
          </cell>
          <cell r="C734">
            <v>2040</v>
          </cell>
          <cell r="D734">
            <v>0.88080000000000003</v>
          </cell>
          <cell r="E734">
            <v>0.59770000000000001</v>
          </cell>
          <cell r="F734">
            <v>0.87780000000000002</v>
          </cell>
          <cell r="G734">
            <v>0.99419999999999997</v>
          </cell>
          <cell r="H734">
            <v>0.80630000000000002</v>
          </cell>
        </row>
        <row r="735">
          <cell r="B735" t="str">
            <v>Jessica Pugh</v>
          </cell>
          <cell r="C735">
            <v>2040</v>
          </cell>
          <cell r="D735">
            <v>0.9123</v>
          </cell>
          <cell r="E735">
            <v>0.74909999999999999</v>
          </cell>
          <cell r="F735">
            <v>0.89570000000000005</v>
          </cell>
          <cell r="G735">
            <v>0.99209999999999998</v>
          </cell>
          <cell r="H735">
            <v>0.86639999999999995</v>
          </cell>
        </row>
        <row r="736">
          <cell r="B736" t="str">
            <v>Wendy Navarro</v>
          </cell>
          <cell r="C736">
            <v>2039</v>
          </cell>
          <cell r="D736">
            <v>0.37319999999999998</v>
          </cell>
          <cell r="E736">
            <v>0.65110000000000001</v>
          </cell>
          <cell r="F736">
            <v>0.80489999999999995</v>
          </cell>
          <cell r="G736">
            <v>0.97650000000000003</v>
          </cell>
          <cell r="H736">
            <v>0.64639999999999997</v>
          </cell>
        </row>
        <row r="737">
          <cell r="B737" t="str">
            <v>Jenna Tillman</v>
          </cell>
          <cell r="C737">
            <v>2038</v>
          </cell>
          <cell r="D737">
            <v>0.71350000000000002</v>
          </cell>
          <cell r="E737">
            <v>0.67230000000000001</v>
          </cell>
          <cell r="F737">
            <v>0.87849999999999995</v>
          </cell>
          <cell r="G737">
            <v>0.99129999999999996</v>
          </cell>
          <cell r="H737">
            <v>0.77839999999999998</v>
          </cell>
        </row>
        <row r="738">
          <cell r="B738" t="str">
            <v>Jennifer Stephens</v>
          </cell>
          <cell r="C738">
            <v>2037</v>
          </cell>
          <cell r="D738">
            <v>0.89429999999999998</v>
          </cell>
          <cell r="E738">
            <v>0.6875</v>
          </cell>
          <cell r="F738">
            <v>0.92659999999999998</v>
          </cell>
          <cell r="G738">
            <v>0.99739999999999995</v>
          </cell>
          <cell r="H738">
            <v>0.85229999999999995</v>
          </cell>
        </row>
        <row r="739">
          <cell r="B739" t="str">
            <v>Nicole Rivera</v>
          </cell>
          <cell r="C739">
            <v>2036</v>
          </cell>
          <cell r="D739">
            <v>0.94069999999999998</v>
          </cell>
          <cell r="E739">
            <v>0.66190000000000004</v>
          </cell>
          <cell r="F739">
            <v>0.84160000000000001</v>
          </cell>
          <cell r="G739">
            <v>0.99329999999999996</v>
          </cell>
          <cell r="H739">
            <v>0.83260000000000001</v>
          </cell>
        </row>
        <row r="740">
          <cell r="B740" t="str">
            <v>Edgar Garcia Torres</v>
          </cell>
          <cell r="C740">
            <v>2035</v>
          </cell>
          <cell r="D740">
            <v>0.39410000000000001</v>
          </cell>
          <cell r="E740">
            <v>0.68879999999999997</v>
          </cell>
          <cell r="F740">
            <v>0.77610000000000001</v>
          </cell>
          <cell r="G740">
            <v>0.99199999999999999</v>
          </cell>
          <cell r="H740">
            <v>0.65690000000000004</v>
          </cell>
        </row>
        <row r="741">
          <cell r="B741" t="str">
            <v>Rodnequia Todd</v>
          </cell>
          <cell r="C741">
            <v>2034</v>
          </cell>
          <cell r="D741">
            <v>0.81559999999999999</v>
          </cell>
          <cell r="E741">
            <v>0.79479999999999995</v>
          </cell>
          <cell r="F741">
            <v>0.9073</v>
          </cell>
          <cell r="G741">
            <v>0.99450000000000005</v>
          </cell>
          <cell r="H741">
            <v>0.8548</v>
          </cell>
        </row>
        <row r="742">
          <cell r="B742" t="str">
            <v>Jennifer Hartinger</v>
          </cell>
          <cell r="C742">
            <v>2033</v>
          </cell>
          <cell r="D742">
            <v>0.96579999999999999</v>
          </cell>
          <cell r="E742">
            <v>0.67720000000000002</v>
          </cell>
          <cell r="F742">
            <v>0.8881</v>
          </cell>
          <cell r="G742">
            <v>0.98519999999999996</v>
          </cell>
          <cell r="H742">
            <v>0.8579</v>
          </cell>
        </row>
        <row r="743">
          <cell r="B743" t="str">
            <v>TyKeisha Morris</v>
          </cell>
          <cell r="C743">
            <v>2032</v>
          </cell>
          <cell r="D743">
            <v>0.81440000000000001</v>
          </cell>
          <cell r="E743">
            <v>0.60229999999999995</v>
          </cell>
          <cell r="F743">
            <v>0.88639999999999997</v>
          </cell>
          <cell r="G743">
            <v>0.99429999999999996</v>
          </cell>
          <cell r="H743">
            <v>0.79039999999999999</v>
          </cell>
        </row>
        <row r="744">
          <cell r="B744" t="str">
            <v>Norma Salinas</v>
          </cell>
          <cell r="C744">
            <v>2030</v>
          </cell>
          <cell r="D744">
            <v>0.30099999999999999</v>
          </cell>
          <cell r="E744">
            <v>0.68140000000000001</v>
          </cell>
          <cell r="F744">
            <v>0.79630000000000001</v>
          </cell>
          <cell r="G744">
            <v>0.98719999999999997</v>
          </cell>
          <cell r="H744">
            <v>0.63229999999999997</v>
          </cell>
        </row>
        <row r="745">
          <cell r="B745" t="str">
            <v>Theresa Burns</v>
          </cell>
          <cell r="C745">
            <v>2028</v>
          </cell>
          <cell r="D745">
            <v>0.88339999999999996</v>
          </cell>
          <cell r="E745">
            <v>0.68720000000000003</v>
          </cell>
          <cell r="F745">
            <v>0.9042</v>
          </cell>
          <cell r="G745">
            <v>0.98470000000000002</v>
          </cell>
          <cell r="H745">
            <v>0.84089999999999998</v>
          </cell>
        </row>
        <row r="746">
          <cell r="B746" t="str">
            <v>Blake Wright</v>
          </cell>
          <cell r="C746">
            <v>2027</v>
          </cell>
          <cell r="D746">
            <v>0.88739999999999997</v>
          </cell>
          <cell r="E746">
            <v>0.64129999999999998</v>
          </cell>
          <cell r="F746">
            <v>0.88849999999999996</v>
          </cell>
          <cell r="G746">
            <v>0.98909999999999998</v>
          </cell>
          <cell r="H746">
            <v>0.82410000000000005</v>
          </cell>
        </row>
        <row r="747">
          <cell r="B747" t="str">
            <v>Marche Lewis</v>
          </cell>
          <cell r="C747">
            <v>2027</v>
          </cell>
          <cell r="D747">
            <v>0.74919999999999998</v>
          </cell>
          <cell r="E747">
            <v>0.66549999999999998</v>
          </cell>
          <cell r="F747">
            <v>0.89649999999999996</v>
          </cell>
          <cell r="G747">
            <v>0.99080000000000001</v>
          </cell>
          <cell r="H747">
            <v>0.79239999999999999</v>
          </cell>
        </row>
        <row r="748">
          <cell r="B748" t="str">
            <v>Hazel Guevara Rodriguez</v>
          </cell>
          <cell r="C748">
            <v>2026</v>
          </cell>
          <cell r="D748">
            <v>0.91869999999999996</v>
          </cell>
          <cell r="E748">
            <v>0.7107</v>
          </cell>
          <cell r="F748">
            <v>0.88160000000000005</v>
          </cell>
          <cell r="G748">
            <v>0.99460000000000004</v>
          </cell>
          <cell r="H748">
            <v>0.8528</v>
          </cell>
        </row>
        <row r="749">
          <cell r="B749" t="str">
            <v>Naomie Thomas-Sainfort</v>
          </cell>
          <cell r="C749">
            <v>2026</v>
          </cell>
          <cell r="D749">
            <v>0.79849999999999999</v>
          </cell>
          <cell r="E749">
            <v>0.66859999999999997</v>
          </cell>
          <cell r="F749">
            <v>0.86439999999999995</v>
          </cell>
          <cell r="G749">
            <v>0.99450000000000005</v>
          </cell>
          <cell r="H749">
            <v>0.79890000000000005</v>
          </cell>
        </row>
        <row r="750">
          <cell r="B750" t="str">
            <v>Karina Vargas</v>
          </cell>
          <cell r="C750">
            <v>2024</v>
          </cell>
          <cell r="D750">
            <v>0.93989999999999996</v>
          </cell>
          <cell r="E750">
            <v>0.74419999999999997</v>
          </cell>
          <cell r="F750">
            <v>0.92410000000000003</v>
          </cell>
          <cell r="G750">
            <v>0.99029999999999996</v>
          </cell>
          <cell r="H750">
            <v>0.88149999999999995</v>
          </cell>
        </row>
        <row r="751">
          <cell r="B751" t="str">
            <v>Lakeisha Patterson</v>
          </cell>
          <cell r="C751">
            <v>2024</v>
          </cell>
          <cell r="D751">
            <v>0.8649</v>
          </cell>
          <cell r="E751">
            <v>0.69610000000000005</v>
          </cell>
          <cell r="F751">
            <v>0.9002</v>
          </cell>
          <cell r="G751">
            <v>0.99029999999999996</v>
          </cell>
          <cell r="H751">
            <v>0.83740000000000003</v>
          </cell>
        </row>
        <row r="752">
          <cell r="B752" t="str">
            <v>Janese Johnson</v>
          </cell>
          <cell r="C752">
            <v>2023</v>
          </cell>
          <cell r="D752">
            <v>0.89319999999999999</v>
          </cell>
          <cell r="E752">
            <v>0.71860000000000002</v>
          </cell>
          <cell r="F752">
            <v>0.93730000000000002</v>
          </cell>
          <cell r="G752">
            <v>0.99199999999999999</v>
          </cell>
          <cell r="H752">
            <v>0.8639</v>
          </cell>
        </row>
        <row r="753">
          <cell r="B753" t="str">
            <v>Lacey Baldwin</v>
          </cell>
          <cell r="C753">
            <v>2022</v>
          </cell>
          <cell r="D753">
            <v>0.93689999999999996</v>
          </cell>
          <cell r="E753">
            <v>0.74550000000000005</v>
          </cell>
          <cell r="F753">
            <v>0.9496</v>
          </cell>
          <cell r="G753">
            <v>0.99560000000000004</v>
          </cell>
          <cell r="H753">
            <v>0.8891</v>
          </cell>
        </row>
        <row r="754">
          <cell r="B754" t="str">
            <v>Shamazia Jamerson</v>
          </cell>
          <cell r="C754">
            <v>2021</v>
          </cell>
          <cell r="D754">
            <v>0.93310000000000004</v>
          </cell>
          <cell r="E754">
            <v>0.66069999999999995</v>
          </cell>
          <cell r="F754">
            <v>0.89400000000000002</v>
          </cell>
          <cell r="G754">
            <v>0.99470000000000003</v>
          </cell>
          <cell r="H754">
            <v>0.8458</v>
          </cell>
        </row>
        <row r="755">
          <cell r="B755" t="str">
            <v>Ashley Clement</v>
          </cell>
          <cell r="C755">
            <v>2020</v>
          </cell>
          <cell r="D755">
            <v>0.86250000000000004</v>
          </cell>
          <cell r="E755">
            <v>0.68540000000000001</v>
          </cell>
          <cell r="F755">
            <v>0.81830000000000003</v>
          </cell>
          <cell r="G755">
            <v>0.99319999999999997</v>
          </cell>
          <cell r="H755">
            <v>0.80920000000000003</v>
          </cell>
        </row>
        <row r="756">
          <cell r="B756" t="str">
            <v>Kaylie Gil</v>
          </cell>
          <cell r="C756">
            <v>2019</v>
          </cell>
          <cell r="D756">
            <v>0.90339999999999998</v>
          </cell>
          <cell r="E756">
            <v>0.67330000000000001</v>
          </cell>
          <cell r="F756">
            <v>0.9143</v>
          </cell>
          <cell r="G756">
            <v>0.98950000000000005</v>
          </cell>
          <cell r="H756">
            <v>0.84619999999999995</v>
          </cell>
        </row>
        <row r="757">
          <cell r="B757" t="str">
            <v>Cindy Higginbotham</v>
          </cell>
          <cell r="C757">
            <v>2015</v>
          </cell>
          <cell r="D757">
            <v>0.91020000000000001</v>
          </cell>
          <cell r="E757">
            <v>0.65449999999999997</v>
          </cell>
          <cell r="F757">
            <v>0.87</v>
          </cell>
          <cell r="G757">
            <v>0.99119999999999997</v>
          </cell>
          <cell r="H757">
            <v>0.82950000000000002</v>
          </cell>
        </row>
        <row r="758">
          <cell r="B758" t="str">
            <v>Tylecia Smith</v>
          </cell>
          <cell r="C758">
            <v>2015</v>
          </cell>
          <cell r="D758">
            <v>0.89100000000000001</v>
          </cell>
          <cell r="E758">
            <v>0.61519999999999997</v>
          </cell>
          <cell r="F758">
            <v>0.76229999999999998</v>
          </cell>
          <cell r="G758">
            <v>0.99239999999999995</v>
          </cell>
          <cell r="H758">
            <v>0.77980000000000005</v>
          </cell>
        </row>
        <row r="759">
          <cell r="B759" t="str">
            <v>Luis De La Rosa</v>
          </cell>
          <cell r="C759">
            <v>2012</v>
          </cell>
          <cell r="D759">
            <v>0.27550000000000002</v>
          </cell>
          <cell r="E759">
            <v>0.62690000000000001</v>
          </cell>
          <cell r="F759">
            <v>0.7107</v>
          </cell>
          <cell r="G759">
            <v>0.97309999999999997</v>
          </cell>
          <cell r="H759">
            <v>0.58120000000000005</v>
          </cell>
        </row>
        <row r="760">
          <cell r="B760" t="str">
            <v>Tara Stephenson</v>
          </cell>
          <cell r="C760">
            <v>2011</v>
          </cell>
          <cell r="D760">
            <v>0.91859999999999997</v>
          </cell>
          <cell r="E760">
            <v>0.71650000000000003</v>
          </cell>
          <cell r="F760">
            <v>0.88880000000000003</v>
          </cell>
          <cell r="G760">
            <v>0.99390000000000001</v>
          </cell>
          <cell r="H760">
            <v>0.85660000000000003</v>
          </cell>
        </row>
        <row r="761">
          <cell r="B761" t="str">
            <v>Johanna Araque</v>
          </cell>
          <cell r="C761">
            <v>2009</v>
          </cell>
          <cell r="D761">
            <v>0.88380000000000003</v>
          </cell>
          <cell r="E761">
            <v>0.59550000000000003</v>
          </cell>
          <cell r="F761">
            <v>0.92200000000000004</v>
          </cell>
          <cell r="G761">
            <v>0.995</v>
          </cell>
          <cell r="H761">
            <v>0.81989999999999996</v>
          </cell>
        </row>
        <row r="762">
          <cell r="B762" t="str">
            <v>Jenna Gwyn</v>
          </cell>
          <cell r="C762">
            <v>2007</v>
          </cell>
          <cell r="D762">
            <v>0.91859999999999997</v>
          </cell>
          <cell r="E762">
            <v>0.75190000000000001</v>
          </cell>
          <cell r="F762">
            <v>0.82299999999999995</v>
          </cell>
          <cell r="G762">
            <v>0.99309999999999998</v>
          </cell>
          <cell r="H762">
            <v>0.84740000000000004</v>
          </cell>
        </row>
        <row r="763">
          <cell r="B763" t="str">
            <v>Jennifer Velazquez</v>
          </cell>
          <cell r="C763">
            <v>2001</v>
          </cell>
          <cell r="D763">
            <v>0.39240000000000003</v>
          </cell>
          <cell r="E763">
            <v>0.60019999999999996</v>
          </cell>
          <cell r="F763">
            <v>0.69730000000000003</v>
          </cell>
          <cell r="G763">
            <v>0.97240000000000004</v>
          </cell>
          <cell r="H763">
            <v>0.60419999999999996</v>
          </cell>
        </row>
        <row r="764">
          <cell r="B764" t="str">
            <v>Angel Massenberg</v>
          </cell>
          <cell r="C764">
            <v>2001</v>
          </cell>
          <cell r="D764">
            <v>0.88590000000000002</v>
          </cell>
          <cell r="E764">
            <v>0.67920000000000003</v>
          </cell>
          <cell r="F764">
            <v>0.89600000000000002</v>
          </cell>
          <cell r="G764">
            <v>0.98839999999999995</v>
          </cell>
          <cell r="H764">
            <v>0.83720000000000006</v>
          </cell>
        </row>
        <row r="765">
          <cell r="B765" t="str">
            <v>Wendi Esquivel</v>
          </cell>
          <cell r="C765">
            <v>2001</v>
          </cell>
          <cell r="D765">
            <v>0.32669999999999999</v>
          </cell>
          <cell r="E765">
            <v>0.65210000000000001</v>
          </cell>
          <cell r="F765">
            <v>0.8387</v>
          </cell>
          <cell r="G765">
            <v>0.9849</v>
          </cell>
          <cell r="H765">
            <v>0.64370000000000005</v>
          </cell>
        </row>
        <row r="766">
          <cell r="B766" t="str">
            <v>Casey Toler</v>
          </cell>
          <cell r="C766">
            <v>1999</v>
          </cell>
          <cell r="D766">
            <v>0.94869999999999999</v>
          </cell>
          <cell r="E766">
            <v>0.71409999999999996</v>
          </cell>
          <cell r="F766">
            <v>0.94130000000000003</v>
          </cell>
          <cell r="G766">
            <v>0.99460000000000004</v>
          </cell>
          <cell r="H766">
            <v>0.88070000000000004</v>
          </cell>
        </row>
        <row r="767">
          <cell r="B767" t="str">
            <v>Angela Tramble</v>
          </cell>
          <cell r="C767">
            <v>1997</v>
          </cell>
          <cell r="D767">
            <v>0.95150000000000001</v>
          </cell>
          <cell r="E767">
            <v>0.69269999999999998</v>
          </cell>
          <cell r="F767">
            <v>0.89600000000000002</v>
          </cell>
          <cell r="G767">
            <v>0.99709999999999999</v>
          </cell>
          <cell r="H767">
            <v>0.86180000000000001</v>
          </cell>
        </row>
        <row r="768">
          <cell r="B768" t="str">
            <v>Mary Bernard</v>
          </cell>
          <cell r="C768">
            <v>1995</v>
          </cell>
          <cell r="D768">
            <v>0.80830000000000002</v>
          </cell>
          <cell r="E768">
            <v>0.73880000000000001</v>
          </cell>
          <cell r="F768">
            <v>0.87429999999999997</v>
          </cell>
          <cell r="G768">
            <v>0.99150000000000005</v>
          </cell>
          <cell r="H768">
            <v>0.8256</v>
          </cell>
        </row>
        <row r="769">
          <cell r="B769" t="str">
            <v>Courtney Damron</v>
          </cell>
          <cell r="C769">
            <v>1995</v>
          </cell>
          <cell r="D769">
            <v>0.95379999999999998</v>
          </cell>
          <cell r="E769">
            <v>0.72199999999999998</v>
          </cell>
          <cell r="F769">
            <v>0.91069999999999995</v>
          </cell>
          <cell r="G769">
            <v>0.99709999999999999</v>
          </cell>
          <cell r="H769">
            <v>0.87570000000000003</v>
          </cell>
        </row>
        <row r="770">
          <cell r="B770" t="str">
            <v>Mahogany Armour</v>
          </cell>
          <cell r="C770">
            <v>1990</v>
          </cell>
          <cell r="D770">
            <v>0.95669999999999999</v>
          </cell>
          <cell r="E770">
            <v>0.70230000000000004</v>
          </cell>
          <cell r="F770">
            <v>0.90610000000000002</v>
          </cell>
          <cell r="G770">
            <v>0.99370000000000003</v>
          </cell>
          <cell r="H770">
            <v>0.86890000000000001</v>
          </cell>
        </row>
        <row r="771">
          <cell r="B771" t="str">
            <v>Adriana Ontiveros</v>
          </cell>
          <cell r="C771">
            <v>1987</v>
          </cell>
          <cell r="D771">
            <v>0.30220000000000002</v>
          </cell>
          <cell r="E771">
            <v>0.67079999999999995</v>
          </cell>
          <cell r="F771">
            <v>0.78080000000000005</v>
          </cell>
          <cell r="G771">
            <v>0.97599999999999998</v>
          </cell>
          <cell r="H771">
            <v>0.62370000000000003</v>
          </cell>
        </row>
        <row r="772">
          <cell r="B772" t="str">
            <v>Farah Lozano</v>
          </cell>
          <cell r="C772">
            <v>1987</v>
          </cell>
          <cell r="D772">
            <v>0.96450000000000002</v>
          </cell>
          <cell r="E772">
            <v>0.65810000000000002</v>
          </cell>
          <cell r="F772">
            <v>0.87980000000000003</v>
          </cell>
          <cell r="G772">
            <v>0.98980000000000001</v>
          </cell>
          <cell r="H772">
            <v>0.84970000000000001</v>
          </cell>
        </row>
        <row r="773">
          <cell r="B773" t="str">
            <v>Keisha Hampton</v>
          </cell>
          <cell r="C773">
            <v>1987</v>
          </cell>
          <cell r="D773">
            <v>0.96030000000000004</v>
          </cell>
          <cell r="E773">
            <v>0.72819999999999996</v>
          </cell>
          <cell r="F773">
            <v>0.95150000000000001</v>
          </cell>
          <cell r="G773">
            <v>0.99309999999999998</v>
          </cell>
          <cell r="H773">
            <v>0.89129999999999998</v>
          </cell>
        </row>
        <row r="774">
          <cell r="B774" t="str">
            <v>Keri Mcdaniel</v>
          </cell>
          <cell r="C774">
            <v>1986</v>
          </cell>
          <cell r="D774">
            <v>0.96730000000000005</v>
          </cell>
          <cell r="E774">
            <v>0.74850000000000005</v>
          </cell>
          <cell r="F774">
            <v>0.90039999999999998</v>
          </cell>
          <cell r="G774">
            <v>0.99550000000000005</v>
          </cell>
          <cell r="H774">
            <v>0.88439999999999996</v>
          </cell>
        </row>
        <row r="775">
          <cell r="B775" t="str">
            <v>Latricha Grinnell</v>
          </cell>
          <cell r="C775">
            <v>1986</v>
          </cell>
          <cell r="D775">
            <v>0.81089999999999995</v>
          </cell>
          <cell r="E775">
            <v>0.65790000000000004</v>
          </cell>
          <cell r="F775">
            <v>0.89290000000000003</v>
          </cell>
          <cell r="G775">
            <v>0.99019999999999997</v>
          </cell>
          <cell r="H775">
            <v>0.8075</v>
          </cell>
        </row>
        <row r="776">
          <cell r="B776" t="str">
            <v>Jammie Tate</v>
          </cell>
          <cell r="C776">
            <v>1985</v>
          </cell>
          <cell r="D776">
            <v>0.79259999999999997</v>
          </cell>
          <cell r="E776">
            <v>0.69879999999999998</v>
          </cell>
          <cell r="F776">
            <v>0.90429999999999999</v>
          </cell>
          <cell r="G776">
            <v>0.99060000000000004</v>
          </cell>
          <cell r="H776">
            <v>0.81779999999999997</v>
          </cell>
        </row>
        <row r="777">
          <cell r="B777" t="str">
            <v>Janesca Page</v>
          </cell>
          <cell r="C777">
            <v>1984</v>
          </cell>
          <cell r="D777">
            <v>0.77139999999999997</v>
          </cell>
          <cell r="E777">
            <v>0.71889999999999998</v>
          </cell>
          <cell r="F777">
            <v>0.88109999999999999</v>
          </cell>
          <cell r="G777">
            <v>0.98909999999999998</v>
          </cell>
          <cell r="H777">
            <v>0.81030000000000002</v>
          </cell>
        </row>
        <row r="778">
          <cell r="B778" t="str">
            <v>Sequana Kimbrel</v>
          </cell>
          <cell r="C778">
            <v>1983</v>
          </cell>
          <cell r="D778">
            <v>0.83989999999999998</v>
          </cell>
          <cell r="E778">
            <v>0.6885</v>
          </cell>
          <cell r="F778">
            <v>0.90180000000000005</v>
          </cell>
          <cell r="G778">
            <v>0.99529999999999996</v>
          </cell>
          <cell r="H778">
            <v>0.8286</v>
          </cell>
        </row>
        <row r="779">
          <cell r="B779" t="str">
            <v>Bryant Little</v>
          </cell>
          <cell r="C779">
            <v>1979</v>
          </cell>
          <cell r="D779">
            <v>0.73199999999999998</v>
          </cell>
          <cell r="E779">
            <v>0.71060000000000001</v>
          </cell>
          <cell r="F779">
            <v>0.88949999999999996</v>
          </cell>
          <cell r="G779">
            <v>0.98560000000000003</v>
          </cell>
          <cell r="H779">
            <v>0.79820000000000002</v>
          </cell>
        </row>
        <row r="780">
          <cell r="B780" t="str">
            <v>Imran Dal</v>
          </cell>
          <cell r="C780">
            <v>1978</v>
          </cell>
          <cell r="D780">
            <v>0.88460000000000005</v>
          </cell>
          <cell r="E780">
            <v>0.67</v>
          </cell>
          <cell r="F780">
            <v>0.86060000000000003</v>
          </cell>
          <cell r="G780">
            <v>0.98509999999999998</v>
          </cell>
          <cell r="H780">
            <v>0.82310000000000005</v>
          </cell>
        </row>
        <row r="781">
          <cell r="B781" t="str">
            <v>Russell Bays</v>
          </cell>
          <cell r="C781">
            <v>1977</v>
          </cell>
          <cell r="D781">
            <v>0.93840000000000001</v>
          </cell>
          <cell r="E781">
            <v>0.76990000000000003</v>
          </cell>
          <cell r="F781">
            <v>0.93500000000000005</v>
          </cell>
          <cell r="G781">
            <v>0.99370000000000003</v>
          </cell>
          <cell r="H781">
            <v>0.89239999999999997</v>
          </cell>
        </row>
        <row r="782">
          <cell r="B782" t="str">
            <v>Jennifer Dees</v>
          </cell>
          <cell r="C782">
            <v>1975</v>
          </cell>
          <cell r="D782">
            <v>0.91</v>
          </cell>
          <cell r="E782">
            <v>0.70120000000000005</v>
          </cell>
          <cell r="F782">
            <v>0.91300000000000003</v>
          </cell>
          <cell r="G782">
            <v>0.99480000000000002</v>
          </cell>
          <cell r="H782">
            <v>0.85680000000000001</v>
          </cell>
        </row>
        <row r="783">
          <cell r="B783" t="str">
            <v>Lauren Yarbro</v>
          </cell>
          <cell r="C783">
            <v>1974</v>
          </cell>
          <cell r="D783">
            <v>0.92110000000000003</v>
          </cell>
          <cell r="E783">
            <v>0.6925</v>
          </cell>
          <cell r="F783">
            <v>0.90269999999999995</v>
          </cell>
          <cell r="G783">
            <v>0.99099999999999999</v>
          </cell>
          <cell r="H783">
            <v>0.85399999999999998</v>
          </cell>
        </row>
        <row r="784">
          <cell r="B784" t="str">
            <v>Danielle Williams</v>
          </cell>
          <cell r="C784">
            <v>1973</v>
          </cell>
          <cell r="D784">
            <v>0.85489999999999999</v>
          </cell>
          <cell r="E784">
            <v>0.65620000000000001</v>
          </cell>
          <cell r="F784">
            <v>0.89629999999999999</v>
          </cell>
          <cell r="G784">
            <v>0.99609999999999999</v>
          </cell>
          <cell r="H784">
            <v>0.82189999999999996</v>
          </cell>
        </row>
        <row r="785">
          <cell r="B785" t="str">
            <v>Shalijah Cooper</v>
          </cell>
          <cell r="C785">
            <v>1973</v>
          </cell>
          <cell r="D785">
            <v>0.76380000000000003</v>
          </cell>
          <cell r="E785">
            <v>0.71050000000000002</v>
          </cell>
          <cell r="F785">
            <v>0.9133</v>
          </cell>
          <cell r="G785">
            <v>0.99070000000000003</v>
          </cell>
          <cell r="H785">
            <v>0.81540000000000001</v>
          </cell>
        </row>
        <row r="786">
          <cell r="B786" t="str">
            <v>Thalia Saenz</v>
          </cell>
          <cell r="C786">
            <v>1971</v>
          </cell>
          <cell r="D786">
            <v>0.4269</v>
          </cell>
          <cell r="E786">
            <v>0.65069999999999995</v>
          </cell>
          <cell r="F786">
            <v>0.83069999999999999</v>
          </cell>
          <cell r="G786">
            <v>0.96930000000000005</v>
          </cell>
          <cell r="H786">
            <v>0.6694</v>
          </cell>
        </row>
        <row r="787">
          <cell r="B787" t="str">
            <v>Valora Kelly</v>
          </cell>
          <cell r="C787">
            <v>1970</v>
          </cell>
          <cell r="D787">
            <v>0.90290000000000004</v>
          </cell>
          <cell r="E787">
            <v>0.74390000000000001</v>
          </cell>
          <cell r="F787">
            <v>0.9355</v>
          </cell>
          <cell r="G787">
            <v>0.99439999999999995</v>
          </cell>
          <cell r="H787">
            <v>0.87409999999999999</v>
          </cell>
        </row>
        <row r="788">
          <cell r="B788" t="str">
            <v>Odell Clark</v>
          </cell>
          <cell r="C788">
            <v>1968</v>
          </cell>
          <cell r="D788">
            <v>0.79600000000000004</v>
          </cell>
          <cell r="E788">
            <v>0.58189999999999997</v>
          </cell>
          <cell r="F788">
            <v>0.74660000000000004</v>
          </cell>
          <cell r="G788">
            <v>0.99250000000000005</v>
          </cell>
          <cell r="H788">
            <v>0.73660000000000003</v>
          </cell>
        </row>
        <row r="789">
          <cell r="B789" t="str">
            <v>Erica Adams</v>
          </cell>
          <cell r="C789">
            <v>1964</v>
          </cell>
          <cell r="D789">
            <v>0.80179999999999996</v>
          </cell>
          <cell r="E789">
            <v>0.71850000000000003</v>
          </cell>
          <cell r="F789">
            <v>0.91439999999999999</v>
          </cell>
          <cell r="G789">
            <v>0.99160000000000004</v>
          </cell>
          <cell r="H789">
            <v>0.8296</v>
          </cell>
        </row>
        <row r="790">
          <cell r="B790" t="str">
            <v>Paula Hinojosa</v>
          </cell>
          <cell r="C790">
            <v>1963</v>
          </cell>
          <cell r="D790">
            <v>0.3765</v>
          </cell>
          <cell r="E790">
            <v>0.66169999999999995</v>
          </cell>
          <cell r="F790">
            <v>0.79049999999999998</v>
          </cell>
          <cell r="G790">
            <v>0.99180000000000001</v>
          </cell>
          <cell r="H790">
            <v>0.64780000000000004</v>
          </cell>
        </row>
        <row r="791">
          <cell r="B791" t="str">
            <v>Chase Harrison</v>
          </cell>
          <cell r="C791">
            <v>1963</v>
          </cell>
          <cell r="D791">
            <v>0.80059999999999998</v>
          </cell>
          <cell r="E791">
            <v>0.69810000000000005</v>
          </cell>
          <cell r="F791">
            <v>0.85619999999999996</v>
          </cell>
          <cell r="G791">
            <v>0.98950000000000005</v>
          </cell>
          <cell r="H791">
            <v>0.8054</v>
          </cell>
        </row>
        <row r="792">
          <cell r="B792" t="str">
            <v>TeYuanna Wilson</v>
          </cell>
          <cell r="C792">
            <v>1958</v>
          </cell>
          <cell r="D792">
            <v>0.63490000000000002</v>
          </cell>
          <cell r="E792">
            <v>0.65529999999999999</v>
          </cell>
          <cell r="F792">
            <v>0.87150000000000005</v>
          </cell>
          <cell r="G792">
            <v>0.97929999999999995</v>
          </cell>
          <cell r="H792">
            <v>0.74639999999999995</v>
          </cell>
        </row>
        <row r="793">
          <cell r="B793" t="str">
            <v>Trinity Bargo</v>
          </cell>
          <cell r="C793">
            <v>1958</v>
          </cell>
          <cell r="D793">
            <v>0.87939999999999996</v>
          </cell>
          <cell r="E793">
            <v>0.76339999999999997</v>
          </cell>
          <cell r="F793">
            <v>0.87139999999999995</v>
          </cell>
          <cell r="G793">
            <v>0.99419999999999997</v>
          </cell>
          <cell r="H793">
            <v>0.85370000000000001</v>
          </cell>
        </row>
        <row r="794">
          <cell r="B794" t="str">
            <v>Janya Ashby</v>
          </cell>
          <cell r="C794">
            <v>1957</v>
          </cell>
          <cell r="D794">
            <v>0.86580000000000001</v>
          </cell>
          <cell r="E794">
            <v>0.6875</v>
          </cell>
          <cell r="F794">
            <v>0.85519999999999996</v>
          </cell>
          <cell r="G794">
            <v>0.9879</v>
          </cell>
          <cell r="H794">
            <v>0.82130000000000003</v>
          </cell>
        </row>
        <row r="795">
          <cell r="B795" t="str">
            <v>Shadonica Harmon</v>
          </cell>
          <cell r="C795">
            <v>1957</v>
          </cell>
          <cell r="D795">
            <v>0.78520000000000001</v>
          </cell>
          <cell r="E795">
            <v>0.67159999999999997</v>
          </cell>
          <cell r="F795">
            <v>0.93079999999999996</v>
          </cell>
          <cell r="G795">
            <v>0.99470000000000003</v>
          </cell>
          <cell r="H795">
            <v>0.81569999999999998</v>
          </cell>
        </row>
        <row r="796">
          <cell r="B796" t="str">
            <v>Dawn Blake</v>
          </cell>
          <cell r="C796">
            <v>1956</v>
          </cell>
          <cell r="D796">
            <v>0.9597</v>
          </cell>
          <cell r="E796">
            <v>0.72609999999999997</v>
          </cell>
          <cell r="F796">
            <v>0.94089999999999996</v>
          </cell>
          <cell r="G796">
            <v>0.99670000000000003</v>
          </cell>
          <cell r="H796">
            <v>0.88770000000000004</v>
          </cell>
        </row>
        <row r="797">
          <cell r="B797" t="str">
            <v>Keri Ann Kincaid</v>
          </cell>
          <cell r="C797">
            <v>1951</v>
          </cell>
          <cell r="D797">
            <v>0.87770000000000004</v>
          </cell>
          <cell r="E797">
            <v>0.67249999999999999</v>
          </cell>
          <cell r="F797">
            <v>0.82589999999999997</v>
          </cell>
          <cell r="G797">
            <v>0.99009999999999998</v>
          </cell>
          <cell r="H797">
            <v>0.81189999999999996</v>
          </cell>
        </row>
        <row r="798">
          <cell r="B798" t="str">
            <v>Sharmeika Perkins</v>
          </cell>
          <cell r="C798">
            <v>1950</v>
          </cell>
          <cell r="D798">
            <v>0.8821</v>
          </cell>
          <cell r="E798">
            <v>0.68340000000000001</v>
          </cell>
          <cell r="F798">
            <v>0.9214</v>
          </cell>
          <cell r="G798">
            <v>0.98899999999999999</v>
          </cell>
          <cell r="H798">
            <v>0.84499999999999997</v>
          </cell>
        </row>
        <row r="799">
          <cell r="B799" t="str">
            <v>Shellee Peccoo Simon</v>
          </cell>
          <cell r="C799">
            <v>1948</v>
          </cell>
          <cell r="D799">
            <v>0.84340000000000004</v>
          </cell>
          <cell r="E799">
            <v>0.67789999999999995</v>
          </cell>
          <cell r="F799">
            <v>0.80259999999999998</v>
          </cell>
          <cell r="G799">
            <v>0.99390000000000001</v>
          </cell>
          <cell r="H799">
            <v>0.79659999999999997</v>
          </cell>
        </row>
        <row r="800">
          <cell r="B800" t="str">
            <v>Catonia Goff</v>
          </cell>
          <cell r="C800">
            <v>1947</v>
          </cell>
          <cell r="D800">
            <v>0.76019999999999999</v>
          </cell>
          <cell r="E800">
            <v>0.64319999999999999</v>
          </cell>
          <cell r="F800">
            <v>0.83919999999999995</v>
          </cell>
          <cell r="G800">
            <v>0.99570000000000003</v>
          </cell>
          <cell r="H800">
            <v>0.77229999999999999</v>
          </cell>
        </row>
        <row r="801">
          <cell r="B801" t="str">
            <v>Christian Muldrow</v>
          </cell>
          <cell r="C801">
            <v>1944</v>
          </cell>
          <cell r="D801">
            <v>0.89239999999999997</v>
          </cell>
          <cell r="E801">
            <v>0.68300000000000005</v>
          </cell>
          <cell r="F801">
            <v>0.87629999999999997</v>
          </cell>
          <cell r="G801">
            <v>0.99270000000000003</v>
          </cell>
          <cell r="H801">
            <v>0.83479999999999999</v>
          </cell>
        </row>
        <row r="802">
          <cell r="B802" t="str">
            <v>DaLea Washington</v>
          </cell>
          <cell r="C802">
            <v>1942</v>
          </cell>
          <cell r="D802">
            <v>0.92600000000000005</v>
          </cell>
          <cell r="E802">
            <v>0.6099</v>
          </cell>
          <cell r="F802">
            <v>0.84870000000000001</v>
          </cell>
          <cell r="G802">
            <v>0.99519999999999997</v>
          </cell>
          <cell r="H802">
            <v>0.81489999999999996</v>
          </cell>
        </row>
        <row r="803">
          <cell r="B803" t="str">
            <v>Deedee Vazquez</v>
          </cell>
          <cell r="C803">
            <v>1942</v>
          </cell>
          <cell r="D803">
            <v>0.79590000000000005</v>
          </cell>
          <cell r="E803">
            <v>0.7228</v>
          </cell>
          <cell r="F803">
            <v>0.88109999999999999</v>
          </cell>
          <cell r="G803">
            <v>0.99429999999999996</v>
          </cell>
          <cell r="H803">
            <v>0.81940000000000002</v>
          </cell>
        </row>
        <row r="804">
          <cell r="B804" t="str">
            <v>Sincere Jackson</v>
          </cell>
          <cell r="C804">
            <v>1937</v>
          </cell>
          <cell r="D804">
            <v>0.79459999999999997</v>
          </cell>
          <cell r="E804">
            <v>0.63970000000000005</v>
          </cell>
          <cell r="F804">
            <v>0.88519999999999999</v>
          </cell>
          <cell r="G804">
            <v>0.99390000000000001</v>
          </cell>
          <cell r="H804">
            <v>0.79520000000000002</v>
          </cell>
        </row>
        <row r="805">
          <cell r="B805" t="str">
            <v>Gloria Martinez</v>
          </cell>
          <cell r="C805">
            <v>1936</v>
          </cell>
          <cell r="D805">
            <v>0.96030000000000004</v>
          </cell>
          <cell r="E805">
            <v>0.67459999999999998</v>
          </cell>
          <cell r="F805">
            <v>0.92430000000000001</v>
          </cell>
          <cell r="G805">
            <v>0.99439999999999995</v>
          </cell>
          <cell r="H805">
            <v>0.86719999999999997</v>
          </cell>
        </row>
        <row r="806">
          <cell r="B806" t="str">
            <v>Alicia Ford</v>
          </cell>
          <cell r="C806">
            <v>1936</v>
          </cell>
          <cell r="D806">
            <v>0.93420000000000003</v>
          </cell>
          <cell r="E806">
            <v>0.72460000000000002</v>
          </cell>
          <cell r="F806">
            <v>0.8508</v>
          </cell>
          <cell r="G806">
            <v>0.98870000000000002</v>
          </cell>
          <cell r="H806">
            <v>0.85170000000000001</v>
          </cell>
        </row>
        <row r="807">
          <cell r="B807" t="str">
            <v>Mary Krynski</v>
          </cell>
          <cell r="C807">
            <v>1935</v>
          </cell>
          <cell r="D807">
            <v>0.86309999999999998</v>
          </cell>
          <cell r="E807">
            <v>0.68740000000000001</v>
          </cell>
          <cell r="F807">
            <v>0.87739999999999996</v>
          </cell>
          <cell r="G807">
            <v>0.9889</v>
          </cell>
          <cell r="H807">
            <v>0.82730000000000004</v>
          </cell>
        </row>
        <row r="808">
          <cell r="B808" t="str">
            <v>Tishan Mcelrath</v>
          </cell>
          <cell r="C808">
            <v>1935</v>
          </cell>
          <cell r="D808">
            <v>0.82240000000000002</v>
          </cell>
          <cell r="E808">
            <v>0.66520000000000001</v>
          </cell>
          <cell r="F808">
            <v>0.91890000000000005</v>
          </cell>
          <cell r="G808">
            <v>0.9839</v>
          </cell>
          <cell r="H808">
            <v>0.82030000000000003</v>
          </cell>
        </row>
        <row r="809">
          <cell r="B809" t="str">
            <v>Jalesia Williams</v>
          </cell>
          <cell r="C809">
            <v>1935</v>
          </cell>
          <cell r="D809">
            <v>0.92830000000000001</v>
          </cell>
          <cell r="E809">
            <v>0.68489999999999995</v>
          </cell>
          <cell r="F809">
            <v>0.92279999999999995</v>
          </cell>
          <cell r="G809">
            <v>0.98750000000000004</v>
          </cell>
          <cell r="H809">
            <v>0.85960000000000003</v>
          </cell>
        </row>
        <row r="810">
          <cell r="B810" t="str">
            <v>Maribel Torres</v>
          </cell>
          <cell r="C810">
            <v>1928</v>
          </cell>
          <cell r="D810">
            <v>0.73850000000000005</v>
          </cell>
          <cell r="E810">
            <v>0.61299999999999999</v>
          </cell>
          <cell r="F810">
            <v>0.86370000000000002</v>
          </cell>
          <cell r="G810">
            <v>0.9929</v>
          </cell>
          <cell r="H810">
            <v>0.76390000000000002</v>
          </cell>
        </row>
        <row r="811">
          <cell r="B811" t="str">
            <v>Julee Louis</v>
          </cell>
          <cell r="C811">
            <v>1926</v>
          </cell>
          <cell r="D811">
            <v>0.89200000000000002</v>
          </cell>
          <cell r="E811">
            <v>0.69120000000000004</v>
          </cell>
          <cell r="F811">
            <v>0.91520000000000001</v>
          </cell>
          <cell r="G811">
            <v>0.98609999999999998</v>
          </cell>
          <cell r="H811">
            <v>0.84819999999999995</v>
          </cell>
        </row>
        <row r="812">
          <cell r="B812" t="str">
            <v>Tamekia White</v>
          </cell>
          <cell r="C812">
            <v>1926</v>
          </cell>
          <cell r="D812">
            <v>0.91020000000000001</v>
          </cell>
          <cell r="E812">
            <v>0.68269999999999997</v>
          </cell>
          <cell r="F812">
            <v>0.90359999999999996</v>
          </cell>
          <cell r="G812">
            <v>0.99019999999999997</v>
          </cell>
          <cell r="H812">
            <v>0.84799999999999998</v>
          </cell>
        </row>
        <row r="813">
          <cell r="B813" t="str">
            <v>Dymond Bridges</v>
          </cell>
          <cell r="C813">
            <v>1925</v>
          </cell>
          <cell r="D813">
            <v>0.9325</v>
          </cell>
          <cell r="E813">
            <v>0.66180000000000005</v>
          </cell>
          <cell r="F813">
            <v>0.97360000000000002</v>
          </cell>
          <cell r="G813">
            <v>0.99519999999999997</v>
          </cell>
          <cell r="H813">
            <v>0.86990000000000001</v>
          </cell>
        </row>
        <row r="814">
          <cell r="B814" t="str">
            <v>Erica Molina</v>
          </cell>
          <cell r="C814">
            <v>1924</v>
          </cell>
          <cell r="D814">
            <v>0.28989999999999999</v>
          </cell>
          <cell r="E814">
            <v>0.69730000000000003</v>
          </cell>
          <cell r="F814">
            <v>0.78979999999999995</v>
          </cell>
          <cell r="G814">
            <v>0.98150000000000004</v>
          </cell>
          <cell r="H814">
            <v>0.63129999999999997</v>
          </cell>
        </row>
        <row r="815">
          <cell r="B815" t="str">
            <v>Rebeca Mandujano</v>
          </cell>
          <cell r="C815">
            <v>1923</v>
          </cell>
          <cell r="D815">
            <v>0.76219999999999999</v>
          </cell>
          <cell r="E815">
            <v>0.67490000000000006</v>
          </cell>
          <cell r="F815">
            <v>0.89190000000000003</v>
          </cell>
          <cell r="G815">
            <v>0.98950000000000005</v>
          </cell>
          <cell r="H815">
            <v>0.79769999999999996</v>
          </cell>
        </row>
        <row r="816">
          <cell r="B816" t="str">
            <v>Robert Hall</v>
          </cell>
          <cell r="C816">
            <v>1923</v>
          </cell>
          <cell r="D816">
            <v>0.94799999999999995</v>
          </cell>
          <cell r="E816">
            <v>0.71220000000000006</v>
          </cell>
          <cell r="F816">
            <v>0.92159999999999997</v>
          </cell>
          <cell r="G816">
            <v>0.9919</v>
          </cell>
          <cell r="H816">
            <v>0.87370000000000003</v>
          </cell>
        </row>
        <row r="817">
          <cell r="B817" t="str">
            <v>Lorena Sepulveda</v>
          </cell>
          <cell r="C817">
            <v>1922</v>
          </cell>
          <cell r="D817">
            <v>0.86080000000000001</v>
          </cell>
          <cell r="E817">
            <v>0.72360000000000002</v>
          </cell>
          <cell r="F817">
            <v>0.90620000000000001</v>
          </cell>
          <cell r="G817">
            <v>0.98350000000000004</v>
          </cell>
          <cell r="H817">
            <v>0.84550000000000003</v>
          </cell>
        </row>
        <row r="818">
          <cell r="B818" t="str">
            <v>Hunter Liggett</v>
          </cell>
          <cell r="C818">
            <v>1922</v>
          </cell>
          <cell r="D818">
            <v>0.70079999999999998</v>
          </cell>
          <cell r="E818">
            <v>0.65480000000000005</v>
          </cell>
          <cell r="F818">
            <v>0.71989999999999998</v>
          </cell>
          <cell r="G818">
            <v>0.99319999999999997</v>
          </cell>
          <cell r="H818">
            <v>0.72199999999999998</v>
          </cell>
        </row>
        <row r="819">
          <cell r="B819" t="str">
            <v>Teneisha Young</v>
          </cell>
          <cell r="C819">
            <v>1921</v>
          </cell>
          <cell r="D819">
            <v>0.73370000000000002</v>
          </cell>
          <cell r="E819">
            <v>0.62509999999999999</v>
          </cell>
          <cell r="F819">
            <v>0.89349999999999996</v>
          </cell>
          <cell r="G819">
            <v>0.98560000000000003</v>
          </cell>
          <cell r="H819">
            <v>0.77429999999999999</v>
          </cell>
        </row>
        <row r="820">
          <cell r="B820" t="str">
            <v>Temeshia Griffin</v>
          </cell>
          <cell r="C820">
            <v>1920</v>
          </cell>
          <cell r="D820">
            <v>0.82369999999999999</v>
          </cell>
          <cell r="E820">
            <v>0.68799999999999994</v>
          </cell>
          <cell r="F820">
            <v>0.8851</v>
          </cell>
          <cell r="G820">
            <v>0.99350000000000005</v>
          </cell>
          <cell r="H820">
            <v>0.81840000000000002</v>
          </cell>
        </row>
        <row r="821">
          <cell r="B821" t="str">
            <v>Chedler Jeanbaptiste</v>
          </cell>
          <cell r="C821">
            <v>1920</v>
          </cell>
          <cell r="D821">
            <v>0.90480000000000005</v>
          </cell>
          <cell r="E821">
            <v>0.61609999999999998</v>
          </cell>
          <cell r="F821">
            <v>0.8982</v>
          </cell>
          <cell r="G821">
            <v>0.99480000000000002</v>
          </cell>
          <cell r="H821">
            <v>0.82520000000000004</v>
          </cell>
        </row>
        <row r="822">
          <cell r="B822" t="str">
            <v>Christopher Stafford</v>
          </cell>
          <cell r="C822">
            <v>1918</v>
          </cell>
          <cell r="D822">
            <v>0.91010000000000002</v>
          </cell>
          <cell r="E822">
            <v>0.69850000000000001</v>
          </cell>
          <cell r="F822">
            <v>0.86770000000000003</v>
          </cell>
          <cell r="G822">
            <v>0.99280000000000002</v>
          </cell>
          <cell r="H822">
            <v>0.84219999999999995</v>
          </cell>
        </row>
        <row r="823">
          <cell r="B823" t="str">
            <v>Teandria Okeke</v>
          </cell>
          <cell r="C823">
            <v>1918</v>
          </cell>
          <cell r="D823">
            <v>0.88839999999999997</v>
          </cell>
          <cell r="E823">
            <v>0.71489999999999998</v>
          </cell>
          <cell r="F823">
            <v>0.94620000000000004</v>
          </cell>
          <cell r="G823">
            <v>0.99360000000000004</v>
          </cell>
          <cell r="H823">
            <v>0.86419999999999997</v>
          </cell>
        </row>
        <row r="824">
          <cell r="B824" t="str">
            <v>Ashley Cooper</v>
          </cell>
          <cell r="C824">
            <v>1913</v>
          </cell>
          <cell r="D824">
            <v>0.7913</v>
          </cell>
          <cell r="E824">
            <v>0.8175</v>
          </cell>
          <cell r="F824">
            <v>0.90249999999999997</v>
          </cell>
          <cell r="G824">
            <v>0.98209999999999997</v>
          </cell>
          <cell r="H824">
            <v>0.85160000000000002</v>
          </cell>
        </row>
        <row r="825">
          <cell r="B825" t="str">
            <v>Alexus Peters</v>
          </cell>
          <cell r="C825">
            <v>1911</v>
          </cell>
          <cell r="D825">
            <v>0.90139999999999998</v>
          </cell>
          <cell r="E825">
            <v>0.70989999999999998</v>
          </cell>
          <cell r="F825">
            <v>0.92130000000000001</v>
          </cell>
          <cell r="G825">
            <v>0.99139999999999995</v>
          </cell>
          <cell r="H825">
            <v>0.8589</v>
          </cell>
        </row>
        <row r="826">
          <cell r="B826" t="str">
            <v>Kathryn Helm</v>
          </cell>
          <cell r="C826">
            <v>1911</v>
          </cell>
          <cell r="D826">
            <v>0.90539999999999998</v>
          </cell>
          <cell r="E826">
            <v>0.70599999999999996</v>
          </cell>
          <cell r="F826">
            <v>0.92149999999999999</v>
          </cell>
          <cell r="G826">
            <v>0.98819999999999997</v>
          </cell>
          <cell r="H826">
            <v>0.85870000000000002</v>
          </cell>
        </row>
        <row r="827">
          <cell r="B827" t="str">
            <v>Jamie Wuest</v>
          </cell>
          <cell r="C827">
            <v>1907</v>
          </cell>
          <cell r="D827">
            <v>0.92090000000000005</v>
          </cell>
          <cell r="E827">
            <v>0.64100000000000001</v>
          </cell>
          <cell r="F827">
            <v>0.82789999999999997</v>
          </cell>
          <cell r="G827">
            <v>0.99429999999999996</v>
          </cell>
          <cell r="H827">
            <v>0.81640000000000001</v>
          </cell>
        </row>
        <row r="828">
          <cell r="B828" t="str">
            <v>Amanda Rohe</v>
          </cell>
          <cell r="C828">
            <v>1900</v>
          </cell>
          <cell r="D828">
            <v>0.85360000000000003</v>
          </cell>
          <cell r="E828">
            <v>0.67810000000000004</v>
          </cell>
          <cell r="F828">
            <v>0.91869999999999996</v>
          </cell>
          <cell r="G828">
            <v>0.98819999999999997</v>
          </cell>
          <cell r="H828">
            <v>0.83399999999999996</v>
          </cell>
        </row>
        <row r="829">
          <cell r="B829" t="str">
            <v>Felicia Ladd</v>
          </cell>
          <cell r="C829">
            <v>1900</v>
          </cell>
          <cell r="D829">
            <v>0.88680000000000003</v>
          </cell>
          <cell r="E829">
            <v>0.67290000000000005</v>
          </cell>
          <cell r="F829">
            <v>0.86850000000000005</v>
          </cell>
          <cell r="G829">
            <v>0.99380000000000002</v>
          </cell>
          <cell r="H829">
            <v>0.82779999999999998</v>
          </cell>
        </row>
        <row r="830">
          <cell r="B830" t="str">
            <v>Ebonee Bradley</v>
          </cell>
          <cell r="C830">
            <v>1897</v>
          </cell>
          <cell r="D830">
            <v>0.84460000000000002</v>
          </cell>
          <cell r="E830">
            <v>0.6542</v>
          </cell>
          <cell r="F830">
            <v>0.89019999999999999</v>
          </cell>
          <cell r="G830">
            <v>0.98799999999999999</v>
          </cell>
          <cell r="H830">
            <v>0.8155</v>
          </cell>
        </row>
        <row r="831">
          <cell r="B831" t="str">
            <v>Jamani Jones</v>
          </cell>
          <cell r="C831">
            <v>1897</v>
          </cell>
          <cell r="D831">
            <v>0.84889999999999999</v>
          </cell>
          <cell r="E831">
            <v>0.63890000000000002</v>
          </cell>
          <cell r="F831">
            <v>0.91469999999999996</v>
          </cell>
          <cell r="G831">
            <v>0.99399999999999999</v>
          </cell>
          <cell r="H831">
            <v>0.82010000000000005</v>
          </cell>
        </row>
        <row r="832">
          <cell r="B832" t="str">
            <v>Destiny Crouch</v>
          </cell>
          <cell r="C832">
            <v>1897</v>
          </cell>
          <cell r="D832">
            <v>0.91449999999999998</v>
          </cell>
          <cell r="E832">
            <v>0.66710000000000003</v>
          </cell>
          <cell r="F832">
            <v>0.81030000000000002</v>
          </cell>
          <cell r="G832">
            <v>0.98899999999999999</v>
          </cell>
          <cell r="H832">
            <v>0.81640000000000001</v>
          </cell>
        </row>
        <row r="833">
          <cell r="B833" t="str">
            <v>Laura Lopez</v>
          </cell>
          <cell r="C833">
            <v>1894</v>
          </cell>
          <cell r="D833">
            <v>0.81499999999999995</v>
          </cell>
          <cell r="E833">
            <v>0.66990000000000005</v>
          </cell>
          <cell r="F833">
            <v>0.86429999999999996</v>
          </cell>
          <cell r="G833">
            <v>0.99019999999999997</v>
          </cell>
          <cell r="H833">
            <v>0.80379999999999996</v>
          </cell>
        </row>
        <row r="834">
          <cell r="B834" t="str">
            <v>Ronalynn Kight</v>
          </cell>
          <cell r="C834">
            <v>1893</v>
          </cell>
          <cell r="D834">
            <v>0.91479999999999995</v>
          </cell>
          <cell r="E834">
            <v>0.73670000000000002</v>
          </cell>
          <cell r="F834">
            <v>0.92749999999999999</v>
          </cell>
          <cell r="G834">
            <v>0.996</v>
          </cell>
          <cell r="H834">
            <v>0.87329999999999997</v>
          </cell>
        </row>
        <row r="835">
          <cell r="B835" t="str">
            <v>Donna Soley</v>
          </cell>
          <cell r="C835">
            <v>1893</v>
          </cell>
          <cell r="D835">
            <v>0.78410000000000002</v>
          </cell>
          <cell r="E835">
            <v>0.65629999999999999</v>
          </cell>
          <cell r="F835">
            <v>0.88029999999999997</v>
          </cell>
          <cell r="G835">
            <v>0.99280000000000002</v>
          </cell>
          <cell r="H835">
            <v>0.79549999999999998</v>
          </cell>
        </row>
        <row r="836">
          <cell r="B836" t="str">
            <v>Kechina Nelson</v>
          </cell>
          <cell r="C836">
            <v>1890</v>
          </cell>
          <cell r="D836">
            <v>0.95220000000000005</v>
          </cell>
          <cell r="E836">
            <v>0.69199999999999995</v>
          </cell>
          <cell r="F836">
            <v>0.85919999999999996</v>
          </cell>
          <cell r="G836">
            <v>0.99419999999999997</v>
          </cell>
          <cell r="H836">
            <v>0.85040000000000004</v>
          </cell>
        </row>
        <row r="837">
          <cell r="B837" t="str">
            <v>Kirsten Wade</v>
          </cell>
          <cell r="C837">
            <v>1888</v>
          </cell>
          <cell r="D837">
            <v>0.90959999999999996</v>
          </cell>
          <cell r="E837">
            <v>0.72970000000000002</v>
          </cell>
          <cell r="F837">
            <v>0.90549999999999997</v>
          </cell>
          <cell r="G837">
            <v>0.98350000000000004</v>
          </cell>
          <cell r="H837">
            <v>0.86180000000000001</v>
          </cell>
        </row>
        <row r="838">
          <cell r="B838" t="str">
            <v>Lena Cole</v>
          </cell>
          <cell r="C838">
            <v>1886</v>
          </cell>
          <cell r="D838">
            <v>0.96050000000000002</v>
          </cell>
          <cell r="E838">
            <v>0.74150000000000005</v>
          </cell>
          <cell r="F838">
            <v>0.91100000000000003</v>
          </cell>
          <cell r="G838">
            <v>0.99319999999999997</v>
          </cell>
          <cell r="H838">
            <v>0.88319999999999999</v>
          </cell>
        </row>
        <row r="839">
          <cell r="B839" t="str">
            <v>Yesenia Reyes</v>
          </cell>
          <cell r="C839">
            <v>1885</v>
          </cell>
          <cell r="D839">
            <v>0.37719999999999998</v>
          </cell>
          <cell r="E839">
            <v>0.67069999999999996</v>
          </cell>
          <cell r="F839">
            <v>0.79849999999999999</v>
          </cell>
          <cell r="G839">
            <v>0.98850000000000005</v>
          </cell>
          <cell r="H839">
            <v>0.65280000000000005</v>
          </cell>
        </row>
        <row r="840">
          <cell r="B840" t="str">
            <v>Aniya Harris</v>
          </cell>
          <cell r="C840">
            <v>1885</v>
          </cell>
          <cell r="D840">
            <v>0.80800000000000005</v>
          </cell>
          <cell r="E840">
            <v>0.64570000000000005</v>
          </cell>
          <cell r="F840">
            <v>0.85240000000000005</v>
          </cell>
          <cell r="G840">
            <v>0.99490000000000001</v>
          </cell>
          <cell r="H840">
            <v>0.7913</v>
          </cell>
        </row>
        <row r="841">
          <cell r="B841" t="str">
            <v>Erynn George</v>
          </cell>
          <cell r="C841">
            <v>1884</v>
          </cell>
          <cell r="D841">
            <v>0.92969999999999997</v>
          </cell>
          <cell r="E841">
            <v>0.73150000000000004</v>
          </cell>
          <cell r="F841">
            <v>0.82899999999999996</v>
          </cell>
          <cell r="G841">
            <v>0.99380000000000002</v>
          </cell>
          <cell r="H841">
            <v>0.84640000000000004</v>
          </cell>
        </row>
        <row r="842">
          <cell r="B842" t="str">
            <v>Nathan Obermite</v>
          </cell>
          <cell r="C842">
            <v>1882</v>
          </cell>
          <cell r="D842">
            <v>0.95650000000000002</v>
          </cell>
          <cell r="E842">
            <v>0.70379999999999998</v>
          </cell>
          <cell r="F842">
            <v>0.89670000000000005</v>
          </cell>
          <cell r="G842">
            <v>0.99460000000000004</v>
          </cell>
          <cell r="H842">
            <v>0.86660000000000004</v>
          </cell>
        </row>
        <row r="843">
          <cell r="B843" t="str">
            <v>Krista Cameron</v>
          </cell>
          <cell r="C843">
            <v>1881</v>
          </cell>
          <cell r="D843">
            <v>0.79190000000000005</v>
          </cell>
          <cell r="E843">
            <v>0.66620000000000001</v>
          </cell>
          <cell r="F843">
            <v>0.90859999999999996</v>
          </cell>
          <cell r="G843">
            <v>0.99</v>
          </cell>
          <cell r="H843">
            <v>0.80900000000000005</v>
          </cell>
        </row>
        <row r="844">
          <cell r="B844" t="str">
            <v>Tod'tiana Thompson</v>
          </cell>
          <cell r="C844">
            <v>1881</v>
          </cell>
          <cell r="D844">
            <v>0.75060000000000004</v>
          </cell>
          <cell r="E844">
            <v>0.63480000000000003</v>
          </cell>
          <cell r="F844">
            <v>0.7853</v>
          </cell>
          <cell r="G844">
            <v>0.97989999999999999</v>
          </cell>
          <cell r="H844">
            <v>0.74919999999999998</v>
          </cell>
        </row>
        <row r="845">
          <cell r="B845" t="str">
            <v>Alexa McGregor</v>
          </cell>
          <cell r="C845">
            <v>1879</v>
          </cell>
          <cell r="D845">
            <v>0.91590000000000005</v>
          </cell>
          <cell r="E845">
            <v>0.73219999999999996</v>
          </cell>
          <cell r="F845">
            <v>0.92730000000000001</v>
          </cell>
          <cell r="G845">
            <v>0.9879</v>
          </cell>
          <cell r="H845">
            <v>0.87139999999999995</v>
          </cell>
        </row>
        <row r="846">
          <cell r="B846" t="str">
            <v>Kaira Tribble</v>
          </cell>
          <cell r="C846">
            <v>1877</v>
          </cell>
          <cell r="D846">
            <v>0.93420000000000003</v>
          </cell>
          <cell r="E846">
            <v>0.70169999999999999</v>
          </cell>
          <cell r="F846">
            <v>0.87829999999999997</v>
          </cell>
          <cell r="G846">
            <v>0.99299999999999999</v>
          </cell>
          <cell r="H846">
            <v>0.85360000000000003</v>
          </cell>
        </row>
        <row r="847">
          <cell r="B847" t="str">
            <v>Edline Simonaire</v>
          </cell>
          <cell r="C847">
            <v>1876</v>
          </cell>
          <cell r="D847">
            <v>0.91869999999999996</v>
          </cell>
          <cell r="E847">
            <v>0.69440000000000002</v>
          </cell>
          <cell r="F847">
            <v>0.91759999999999997</v>
          </cell>
          <cell r="G847">
            <v>0.99560000000000004</v>
          </cell>
          <cell r="H847">
            <v>0.85880000000000001</v>
          </cell>
        </row>
        <row r="848">
          <cell r="B848" t="str">
            <v>Victor Rodriguez</v>
          </cell>
          <cell r="C848">
            <v>1873</v>
          </cell>
          <cell r="D848">
            <v>0.8891</v>
          </cell>
          <cell r="E848">
            <v>0.66359999999999997</v>
          </cell>
          <cell r="F848">
            <v>0.88680000000000003</v>
          </cell>
          <cell r="G848">
            <v>0.98660000000000003</v>
          </cell>
          <cell r="H848">
            <v>0.83050000000000002</v>
          </cell>
        </row>
        <row r="849">
          <cell r="B849" t="str">
            <v>Brondolynn Lawhorne-Doherty</v>
          </cell>
          <cell r="C849">
            <v>1872</v>
          </cell>
          <cell r="D849">
            <v>0.8931</v>
          </cell>
          <cell r="E849">
            <v>0.67369999999999997</v>
          </cell>
          <cell r="F849">
            <v>0.92710000000000004</v>
          </cell>
          <cell r="G849">
            <v>0.99309999999999998</v>
          </cell>
          <cell r="H849">
            <v>0.84750000000000003</v>
          </cell>
        </row>
        <row r="850">
          <cell r="B850" t="str">
            <v>Rachelle Colin</v>
          </cell>
          <cell r="C850">
            <v>1870</v>
          </cell>
          <cell r="D850">
            <v>0.95709999999999995</v>
          </cell>
          <cell r="E850">
            <v>0.70140000000000002</v>
          </cell>
          <cell r="F850">
            <v>0.90249999999999997</v>
          </cell>
          <cell r="G850">
            <v>0.99209999999999998</v>
          </cell>
          <cell r="H850">
            <v>0.86750000000000005</v>
          </cell>
        </row>
        <row r="851">
          <cell r="B851" t="str">
            <v>Jordan Loibman</v>
          </cell>
          <cell r="C851">
            <v>1870</v>
          </cell>
          <cell r="D851">
            <v>0.77629999999999999</v>
          </cell>
          <cell r="E851">
            <v>0.65249999999999997</v>
          </cell>
          <cell r="F851">
            <v>0.75319999999999998</v>
          </cell>
          <cell r="G851">
            <v>0.98960000000000004</v>
          </cell>
          <cell r="H851">
            <v>0.75360000000000005</v>
          </cell>
        </row>
        <row r="852">
          <cell r="B852" t="str">
            <v>Shameka Gibson</v>
          </cell>
          <cell r="C852">
            <v>1868</v>
          </cell>
          <cell r="D852">
            <v>0.93389999999999995</v>
          </cell>
          <cell r="E852">
            <v>0.68400000000000005</v>
          </cell>
          <cell r="F852">
            <v>0.9042</v>
          </cell>
          <cell r="G852">
            <v>0.99099999999999999</v>
          </cell>
          <cell r="H852">
            <v>0.85570000000000002</v>
          </cell>
        </row>
        <row r="853">
          <cell r="B853" t="str">
            <v>Sarah Moore</v>
          </cell>
          <cell r="C853">
            <v>1866</v>
          </cell>
          <cell r="D853">
            <v>0.84119999999999995</v>
          </cell>
          <cell r="E853">
            <v>0.68069999999999997</v>
          </cell>
          <cell r="F853">
            <v>0.92749999999999999</v>
          </cell>
          <cell r="G853">
            <v>0.99509999999999998</v>
          </cell>
          <cell r="H853">
            <v>0.83430000000000004</v>
          </cell>
        </row>
        <row r="854">
          <cell r="B854" t="str">
            <v>Ashley Gonzales</v>
          </cell>
          <cell r="C854">
            <v>1864</v>
          </cell>
          <cell r="D854">
            <v>0.88449999999999995</v>
          </cell>
          <cell r="E854">
            <v>0.71189999999999998</v>
          </cell>
          <cell r="F854">
            <v>0.92620000000000002</v>
          </cell>
          <cell r="G854">
            <v>0.99380000000000002</v>
          </cell>
          <cell r="H854">
            <v>0.85619999999999996</v>
          </cell>
        </row>
        <row r="855">
          <cell r="B855" t="str">
            <v>Breonna Barfield</v>
          </cell>
          <cell r="C855">
            <v>1861</v>
          </cell>
          <cell r="D855">
            <v>0.89249999999999996</v>
          </cell>
          <cell r="E855">
            <v>0.70740000000000003</v>
          </cell>
          <cell r="F855">
            <v>0.90839999999999999</v>
          </cell>
          <cell r="G855">
            <v>0.99299999999999999</v>
          </cell>
          <cell r="H855">
            <v>0.8518</v>
          </cell>
        </row>
        <row r="856">
          <cell r="B856" t="str">
            <v>Karla Rodriguez</v>
          </cell>
          <cell r="C856">
            <v>1859</v>
          </cell>
          <cell r="D856">
            <v>0.33350000000000002</v>
          </cell>
          <cell r="E856">
            <v>0.6744</v>
          </cell>
          <cell r="F856">
            <v>0.79390000000000005</v>
          </cell>
          <cell r="G856">
            <v>0.98460000000000003</v>
          </cell>
          <cell r="H856">
            <v>0.63900000000000001</v>
          </cell>
        </row>
        <row r="857">
          <cell r="B857" t="str">
            <v>Semiko Gillenwater</v>
          </cell>
          <cell r="C857">
            <v>1859</v>
          </cell>
          <cell r="D857">
            <v>0.94589999999999996</v>
          </cell>
          <cell r="E857">
            <v>0.69540000000000002</v>
          </cell>
          <cell r="F857">
            <v>0.93420000000000003</v>
          </cell>
          <cell r="G857">
            <v>0.96030000000000004</v>
          </cell>
          <cell r="H857">
            <v>0.86870000000000003</v>
          </cell>
        </row>
        <row r="858">
          <cell r="B858" t="str">
            <v>Haydee Escamilla</v>
          </cell>
          <cell r="C858">
            <v>1859</v>
          </cell>
          <cell r="D858">
            <v>0.81130000000000002</v>
          </cell>
          <cell r="E858">
            <v>0.73819999999999997</v>
          </cell>
          <cell r="F858">
            <v>0.85219999999999996</v>
          </cell>
          <cell r="G858">
            <v>0.98819999999999997</v>
          </cell>
          <cell r="H858">
            <v>0.81930000000000003</v>
          </cell>
        </row>
        <row r="859">
          <cell r="B859" t="str">
            <v>Soledad Cano</v>
          </cell>
          <cell r="C859">
            <v>1857</v>
          </cell>
          <cell r="D859">
            <v>0.3256</v>
          </cell>
          <cell r="E859">
            <v>0.57310000000000005</v>
          </cell>
          <cell r="F859">
            <v>0.81620000000000004</v>
          </cell>
          <cell r="G859">
            <v>0.97709999999999997</v>
          </cell>
          <cell r="H859">
            <v>0.61219999999999997</v>
          </cell>
        </row>
        <row r="860">
          <cell r="B860" t="str">
            <v>Kambria Green</v>
          </cell>
          <cell r="C860">
            <v>1857</v>
          </cell>
          <cell r="D860">
            <v>0.84370000000000001</v>
          </cell>
          <cell r="E860">
            <v>0.61360000000000003</v>
          </cell>
          <cell r="F860">
            <v>0.78979999999999995</v>
          </cell>
          <cell r="G860">
            <v>0.98160000000000003</v>
          </cell>
          <cell r="H860">
            <v>0.77229999999999999</v>
          </cell>
        </row>
        <row r="861">
          <cell r="B861" t="str">
            <v>Kristi Williams</v>
          </cell>
          <cell r="C861">
            <v>1857</v>
          </cell>
          <cell r="D861">
            <v>0.86909999999999998</v>
          </cell>
          <cell r="E861">
            <v>0.6643</v>
          </cell>
          <cell r="F861">
            <v>0.94779999999999998</v>
          </cell>
          <cell r="G861">
            <v>0.99429999999999996</v>
          </cell>
          <cell r="H861">
            <v>0.84379999999999999</v>
          </cell>
        </row>
        <row r="862">
          <cell r="B862" t="str">
            <v>Sammy Hanson</v>
          </cell>
          <cell r="C862">
            <v>1857</v>
          </cell>
          <cell r="D862">
            <v>0.88400000000000001</v>
          </cell>
          <cell r="E862">
            <v>0.65620000000000001</v>
          </cell>
          <cell r="F862">
            <v>0.82820000000000005</v>
          </cell>
          <cell r="G862">
            <v>0.98860000000000003</v>
          </cell>
          <cell r="H862">
            <v>0.80940000000000001</v>
          </cell>
        </row>
        <row r="863">
          <cell r="B863" t="str">
            <v>Jasmine Johnson</v>
          </cell>
          <cell r="C863">
            <v>1854</v>
          </cell>
          <cell r="D863">
            <v>0.77270000000000005</v>
          </cell>
          <cell r="E863">
            <v>0.6502</v>
          </cell>
          <cell r="F863">
            <v>0.8649</v>
          </cell>
          <cell r="G863">
            <v>0.98480000000000001</v>
          </cell>
          <cell r="H863">
            <v>0.78480000000000005</v>
          </cell>
        </row>
        <row r="864">
          <cell r="B864" t="str">
            <v>Maria Pena</v>
          </cell>
          <cell r="C864">
            <v>1854</v>
          </cell>
          <cell r="D864">
            <v>0.86509999999999998</v>
          </cell>
          <cell r="E864">
            <v>0.70950000000000002</v>
          </cell>
          <cell r="F864">
            <v>0.91510000000000002</v>
          </cell>
          <cell r="G864">
            <v>0.99519999999999997</v>
          </cell>
          <cell r="H864">
            <v>0.84640000000000004</v>
          </cell>
        </row>
        <row r="865">
          <cell r="B865" t="str">
            <v>Andrea Bailey</v>
          </cell>
          <cell r="C865">
            <v>1850</v>
          </cell>
          <cell r="D865">
            <v>0.92569999999999997</v>
          </cell>
          <cell r="E865">
            <v>0.6583</v>
          </cell>
          <cell r="F865">
            <v>0.92549999999999999</v>
          </cell>
          <cell r="G865">
            <v>0.99129999999999996</v>
          </cell>
          <cell r="H865">
            <v>0.85199999999999998</v>
          </cell>
        </row>
        <row r="866">
          <cell r="B866" t="str">
            <v>Tameka Marcano</v>
          </cell>
          <cell r="C866">
            <v>1849</v>
          </cell>
          <cell r="D866">
            <v>0.84830000000000005</v>
          </cell>
          <cell r="E866">
            <v>0.70130000000000003</v>
          </cell>
          <cell r="F866">
            <v>0.92449999999999999</v>
          </cell>
          <cell r="G866">
            <v>0.99339999999999995</v>
          </cell>
          <cell r="H866">
            <v>0.84160000000000001</v>
          </cell>
        </row>
        <row r="867">
          <cell r="B867" t="str">
            <v>Linda Roberts</v>
          </cell>
          <cell r="C867">
            <v>1846</v>
          </cell>
          <cell r="D867">
            <v>0.96199999999999997</v>
          </cell>
          <cell r="E867">
            <v>0.69669999999999999</v>
          </cell>
          <cell r="F867">
            <v>0.85409999999999997</v>
          </cell>
          <cell r="G867">
            <v>0.99180000000000001</v>
          </cell>
          <cell r="H867">
            <v>0.85299999999999998</v>
          </cell>
        </row>
        <row r="868">
          <cell r="B868" t="str">
            <v>Alexis Scott</v>
          </cell>
          <cell r="C868">
            <v>1844</v>
          </cell>
          <cell r="D868">
            <v>0.72199999999999998</v>
          </cell>
          <cell r="E868">
            <v>0.68710000000000004</v>
          </cell>
          <cell r="F868">
            <v>0.87580000000000002</v>
          </cell>
          <cell r="G868">
            <v>0.99509999999999998</v>
          </cell>
          <cell r="H868">
            <v>0.78500000000000003</v>
          </cell>
        </row>
        <row r="869">
          <cell r="B869" t="str">
            <v>Jessica Morgan</v>
          </cell>
          <cell r="C869">
            <v>1843</v>
          </cell>
          <cell r="D869">
            <v>0.93120000000000003</v>
          </cell>
          <cell r="E869">
            <v>0.7742</v>
          </cell>
          <cell r="F869">
            <v>0.96319999999999995</v>
          </cell>
          <cell r="G869">
            <v>0.99829999999999997</v>
          </cell>
          <cell r="H869">
            <v>0.90039999999999998</v>
          </cell>
        </row>
        <row r="870">
          <cell r="B870" t="str">
            <v>Charlene Doerr</v>
          </cell>
          <cell r="C870">
            <v>1841</v>
          </cell>
          <cell r="D870">
            <v>0.96099999999999997</v>
          </cell>
          <cell r="E870">
            <v>0.71409999999999996</v>
          </cell>
          <cell r="F870">
            <v>0.94979999999999998</v>
          </cell>
          <cell r="G870">
            <v>0.99239999999999995</v>
          </cell>
          <cell r="H870">
            <v>0.88670000000000004</v>
          </cell>
        </row>
        <row r="871">
          <cell r="B871" t="str">
            <v>Maria Salazar</v>
          </cell>
          <cell r="C871">
            <v>1841</v>
          </cell>
          <cell r="D871">
            <v>0.96640000000000004</v>
          </cell>
          <cell r="E871">
            <v>0.67769999999999997</v>
          </cell>
          <cell r="F871">
            <v>0.91310000000000002</v>
          </cell>
          <cell r="G871">
            <v>0.99309999999999998</v>
          </cell>
          <cell r="H871">
            <v>0.86639999999999995</v>
          </cell>
        </row>
        <row r="872">
          <cell r="B872" t="str">
            <v>Amy Helt</v>
          </cell>
          <cell r="C872">
            <v>1836</v>
          </cell>
          <cell r="D872">
            <v>0.89710000000000001</v>
          </cell>
          <cell r="E872">
            <v>0.68489999999999995</v>
          </cell>
          <cell r="F872">
            <v>0.86109999999999998</v>
          </cell>
          <cell r="G872">
            <v>0.99670000000000003</v>
          </cell>
          <cell r="H872">
            <v>0.83260000000000001</v>
          </cell>
        </row>
        <row r="873">
          <cell r="B873" t="str">
            <v>Gloria Chavez</v>
          </cell>
          <cell r="C873">
            <v>1835</v>
          </cell>
          <cell r="D873">
            <v>0.33679999999999999</v>
          </cell>
          <cell r="E873">
            <v>0.53900000000000003</v>
          </cell>
          <cell r="F873">
            <v>0.51419999999999999</v>
          </cell>
          <cell r="G873">
            <v>0.97270000000000001</v>
          </cell>
          <cell r="H873">
            <v>0.51429999999999998</v>
          </cell>
        </row>
        <row r="874">
          <cell r="B874" t="str">
            <v>Alyssa Lounmala</v>
          </cell>
          <cell r="C874">
            <v>1832</v>
          </cell>
          <cell r="D874">
            <v>0.88690000000000002</v>
          </cell>
          <cell r="E874">
            <v>0.72309999999999997</v>
          </cell>
          <cell r="F874">
            <v>0.92249999999999999</v>
          </cell>
          <cell r="G874">
            <v>0.99470000000000003</v>
          </cell>
          <cell r="H874">
            <v>0.85919999999999996</v>
          </cell>
        </row>
        <row r="875">
          <cell r="B875" t="str">
            <v>Michelle Meadows</v>
          </cell>
          <cell r="C875">
            <v>1832</v>
          </cell>
          <cell r="D875">
            <v>0.86470000000000002</v>
          </cell>
          <cell r="E875">
            <v>0.76100000000000001</v>
          </cell>
          <cell r="F875">
            <v>0.90229999999999999</v>
          </cell>
          <cell r="G875">
            <v>0.98309999999999997</v>
          </cell>
          <cell r="H875">
            <v>0.85670000000000002</v>
          </cell>
        </row>
        <row r="876">
          <cell r="B876" t="str">
            <v>Michelle Contreras</v>
          </cell>
          <cell r="C876">
            <v>1828</v>
          </cell>
          <cell r="D876">
            <v>0.85099999999999998</v>
          </cell>
          <cell r="E876">
            <v>0.67410000000000003</v>
          </cell>
          <cell r="F876">
            <v>0.86739999999999995</v>
          </cell>
          <cell r="G876">
            <v>0.98340000000000005</v>
          </cell>
          <cell r="H876">
            <v>0.81610000000000005</v>
          </cell>
        </row>
        <row r="877">
          <cell r="B877" t="str">
            <v>Ashley Vinson</v>
          </cell>
          <cell r="C877">
            <v>1824</v>
          </cell>
          <cell r="D877">
            <v>0.95120000000000005</v>
          </cell>
          <cell r="E877">
            <v>0.6401</v>
          </cell>
          <cell r="F877">
            <v>0.88629999999999998</v>
          </cell>
          <cell r="G877">
            <v>0.99239999999999995</v>
          </cell>
          <cell r="H877">
            <v>0.84250000000000003</v>
          </cell>
        </row>
        <row r="878">
          <cell r="B878" t="str">
            <v>Shawn Perkins</v>
          </cell>
          <cell r="C878">
            <v>1824</v>
          </cell>
          <cell r="D878">
            <v>0.93420000000000003</v>
          </cell>
          <cell r="E878">
            <v>0.71309999999999996</v>
          </cell>
          <cell r="F878">
            <v>0.93779999999999997</v>
          </cell>
          <cell r="G878">
            <v>0.99299999999999999</v>
          </cell>
          <cell r="H878">
            <v>0.87480000000000002</v>
          </cell>
        </row>
        <row r="879">
          <cell r="B879" t="str">
            <v>Brenda Lee Lerma</v>
          </cell>
          <cell r="C879">
            <v>1824</v>
          </cell>
          <cell r="D879">
            <v>0.37280000000000002</v>
          </cell>
          <cell r="E879">
            <v>0.65710000000000002</v>
          </cell>
          <cell r="F879">
            <v>0.86040000000000005</v>
          </cell>
          <cell r="G879">
            <v>0.97299999999999998</v>
          </cell>
          <cell r="H879">
            <v>0.66439999999999999</v>
          </cell>
        </row>
        <row r="880">
          <cell r="B880" t="str">
            <v>Raven Rodrigues</v>
          </cell>
          <cell r="C880">
            <v>1822</v>
          </cell>
          <cell r="D880">
            <v>0.77869999999999995</v>
          </cell>
          <cell r="E880">
            <v>0.6865</v>
          </cell>
          <cell r="F880">
            <v>0.86670000000000003</v>
          </cell>
          <cell r="G880">
            <v>0.99160000000000004</v>
          </cell>
          <cell r="H880">
            <v>0.79869999999999997</v>
          </cell>
        </row>
        <row r="881">
          <cell r="B881" t="str">
            <v>Stephanie Lara</v>
          </cell>
          <cell r="C881">
            <v>1822</v>
          </cell>
          <cell r="D881">
            <v>0.97689999999999999</v>
          </cell>
          <cell r="E881">
            <v>0.71650000000000003</v>
          </cell>
          <cell r="F881">
            <v>0.93120000000000003</v>
          </cell>
          <cell r="G881">
            <v>0.99360000000000004</v>
          </cell>
          <cell r="H881">
            <v>0.88670000000000004</v>
          </cell>
        </row>
        <row r="882">
          <cell r="B882" t="str">
            <v>Bianca Padilla</v>
          </cell>
          <cell r="C882">
            <v>1821</v>
          </cell>
          <cell r="D882">
            <v>0.28179999999999999</v>
          </cell>
          <cell r="E882">
            <v>0.66239999999999999</v>
          </cell>
          <cell r="F882">
            <v>0.81259999999999999</v>
          </cell>
          <cell r="G882">
            <v>0.98519999999999996</v>
          </cell>
          <cell r="H882">
            <v>0.62560000000000004</v>
          </cell>
        </row>
        <row r="883">
          <cell r="B883" t="str">
            <v>Jenna Cho</v>
          </cell>
          <cell r="C883">
            <v>1819</v>
          </cell>
          <cell r="D883">
            <v>0.92849999999999999</v>
          </cell>
          <cell r="E883">
            <v>0.75519999999999998</v>
          </cell>
          <cell r="F883">
            <v>0.89780000000000004</v>
          </cell>
          <cell r="G883">
            <v>0.99629999999999996</v>
          </cell>
          <cell r="H883">
            <v>0.87409999999999999</v>
          </cell>
        </row>
        <row r="884">
          <cell r="B884" t="str">
            <v>Brandi Glast</v>
          </cell>
          <cell r="C884">
            <v>1816</v>
          </cell>
          <cell r="D884">
            <v>0.92989999999999995</v>
          </cell>
          <cell r="E884">
            <v>0.76339999999999997</v>
          </cell>
          <cell r="F884">
            <v>0.87280000000000002</v>
          </cell>
          <cell r="G884">
            <v>0.99409999999999998</v>
          </cell>
          <cell r="H884">
            <v>0.86919999999999997</v>
          </cell>
        </row>
        <row r="885">
          <cell r="B885" t="str">
            <v>Darrien Bigney</v>
          </cell>
          <cell r="C885">
            <v>1816</v>
          </cell>
          <cell r="D885">
            <v>0.92730000000000001</v>
          </cell>
          <cell r="E885">
            <v>0.69430000000000003</v>
          </cell>
          <cell r="F885">
            <v>0.91490000000000005</v>
          </cell>
          <cell r="G885">
            <v>0.99219999999999997</v>
          </cell>
          <cell r="H885">
            <v>0.86019999999999996</v>
          </cell>
        </row>
        <row r="886">
          <cell r="B886" t="str">
            <v>Jaia Lewis</v>
          </cell>
          <cell r="C886">
            <v>1808</v>
          </cell>
          <cell r="D886">
            <v>0.91839999999999999</v>
          </cell>
          <cell r="E886">
            <v>0.73089999999999999</v>
          </cell>
          <cell r="F886">
            <v>0.92279999999999995</v>
          </cell>
          <cell r="G886">
            <v>0.98599999999999999</v>
          </cell>
          <cell r="H886">
            <v>0.87019999999999997</v>
          </cell>
        </row>
        <row r="887">
          <cell r="B887" t="str">
            <v>Rhonda Wood</v>
          </cell>
          <cell r="C887">
            <v>1807</v>
          </cell>
          <cell r="D887">
            <v>0.92</v>
          </cell>
          <cell r="E887">
            <v>0.69410000000000005</v>
          </cell>
          <cell r="F887">
            <v>0.9345</v>
          </cell>
          <cell r="G887">
            <v>0.99339999999999995</v>
          </cell>
          <cell r="H887">
            <v>0.8639</v>
          </cell>
        </row>
        <row r="888">
          <cell r="B888" t="str">
            <v>Jasmine Shelvin</v>
          </cell>
          <cell r="C888">
            <v>1806</v>
          </cell>
          <cell r="D888">
            <v>0.92959999999999998</v>
          </cell>
          <cell r="E888">
            <v>0.70540000000000003</v>
          </cell>
          <cell r="F888">
            <v>0.89610000000000001</v>
          </cell>
          <cell r="G888">
            <v>0.99590000000000001</v>
          </cell>
          <cell r="H888">
            <v>0.8589</v>
          </cell>
        </row>
        <row r="889">
          <cell r="B889" t="str">
            <v>Shamarra Harris</v>
          </cell>
          <cell r="C889">
            <v>1797</v>
          </cell>
          <cell r="D889">
            <v>0.89759999999999995</v>
          </cell>
          <cell r="E889">
            <v>0.59850000000000003</v>
          </cell>
          <cell r="F889">
            <v>0.90359999999999996</v>
          </cell>
          <cell r="G889">
            <v>0.98499999999999999</v>
          </cell>
          <cell r="H889">
            <v>0.81840000000000002</v>
          </cell>
        </row>
        <row r="890">
          <cell r="B890" t="str">
            <v>Shalee Tinney</v>
          </cell>
          <cell r="C890">
            <v>1797</v>
          </cell>
          <cell r="D890">
            <v>0.88300000000000001</v>
          </cell>
          <cell r="E890">
            <v>0.65800000000000003</v>
          </cell>
          <cell r="F890">
            <v>0.88360000000000005</v>
          </cell>
          <cell r="G890">
            <v>0.98919999999999997</v>
          </cell>
          <cell r="H890">
            <v>0.82630000000000003</v>
          </cell>
        </row>
        <row r="891">
          <cell r="B891" t="str">
            <v>Keith Kimzey</v>
          </cell>
          <cell r="C891">
            <v>1797</v>
          </cell>
          <cell r="D891">
            <v>0.91720000000000002</v>
          </cell>
          <cell r="E891">
            <v>0.73309999999999997</v>
          </cell>
          <cell r="F891">
            <v>0.89710000000000001</v>
          </cell>
          <cell r="G891">
            <v>0.99590000000000001</v>
          </cell>
          <cell r="H891">
            <v>0.86380000000000001</v>
          </cell>
        </row>
        <row r="892">
          <cell r="B892" t="str">
            <v>LaSeanda Wilcott</v>
          </cell>
          <cell r="C892">
            <v>1794</v>
          </cell>
          <cell r="D892">
            <v>0.81579999999999997</v>
          </cell>
          <cell r="E892">
            <v>0.72660000000000002</v>
          </cell>
          <cell r="F892">
            <v>0.88829999999999998</v>
          </cell>
          <cell r="G892">
            <v>0.99299999999999999</v>
          </cell>
          <cell r="H892">
            <v>0.82850000000000001</v>
          </cell>
        </row>
        <row r="893">
          <cell r="B893" t="str">
            <v>Jennifer Wolfe</v>
          </cell>
          <cell r="C893">
            <v>1791</v>
          </cell>
          <cell r="D893">
            <v>0.80700000000000005</v>
          </cell>
          <cell r="E893">
            <v>0.72540000000000004</v>
          </cell>
          <cell r="F893">
            <v>0.90100000000000002</v>
          </cell>
          <cell r="G893">
            <v>0.99529999999999996</v>
          </cell>
          <cell r="H893">
            <v>0.82950000000000002</v>
          </cell>
        </row>
        <row r="894">
          <cell r="B894" t="str">
            <v>Swinda Wallace</v>
          </cell>
          <cell r="C894">
            <v>1790</v>
          </cell>
          <cell r="D894">
            <v>0.94979999999999998</v>
          </cell>
          <cell r="E894">
            <v>0.68020000000000003</v>
          </cell>
          <cell r="F894">
            <v>0.87980000000000003</v>
          </cell>
          <cell r="G894">
            <v>0.99239999999999995</v>
          </cell>
          <cell r="H894">
            <v>0.85219999999999996</v>
          </cell>
        </row>
        <row r="895">
          <cell r="B895" t="str">
            <v>Shakika Sneed</v>
          </cell>
          <cell r="C895">
            <v>1789</v>
          </cell>
          <cell r="D895">
            <v>0.92749999999999999</v>
          </cell>
          <cell r="E895">
            <v>0.72770000000000001</v>
          </cell>
          <cell r="F895">
            <v>0.90680000000000005</v>
          </cell>
          <cell r="G895">
            <v>0.99329999999999996</v>
          </cell>
          <cell r="H895">
            <v>0.8679</v>
          </cell>
        </row>
        <row r="896">
          <cell r="B896" t="str">
            <v>Sheneil Hilton</v>
          </cell>
          <cell r="C896">
            <v>1789</v>
          </cell>
          <cell r="D896">
            <v>0.88249999999999995</v>
          </cell>
          <cell r="E896">
            <v>0.69159999999999999</v>
          </cell>
          <cell r="F896">
            <v>0.8669</v>
          </cell>
          <cell r="G896">
            <v>0.99609999999999999</v>
          </cell>
          <cell r="H896">
            <v>0.83189999999999997</v>
          </cell>
        </row>
        <row r="897">
          <cell r="B897" t="str">
            <v>Scott Harrison</v>
          </cell>
          <cell r="C897">
            <v>1787</v>
          </cell>
          <cell r="D897">
            <v>0.87490000000000001</v>
          </cell>
          <cell r="E897">
            <v>0.70409999999999995</v>
          </cell>
          <cell r="F897">
            <v>0.91</v>
          </cell>
          <cell r="G897">
            <v>0.9919</v>
          </cell>
          <cell r="H897">
            <v>0.84589999999999999</v>
          </cell>
        </row>
        <row r="898">
          <cell r="B898" t="str">
            <v>Elizabeth Hernandez</v>
          </cell>
          <cell r="C898">
            <v>1786</v>
          </cell>
          <cell r="D898">
            <v>0.42599999999999999</v>
          </cell>
          <cell r="E898">
            <v>0.6421</v>
          </cell>
          <cell r="F898">
            <v>0.83299999999999996</v>
          </cell>
          <cell r="G898">
            <v>0.98529999999999995</v>
          </cell>
          <cell r="H898">
            <v>0.66879999999999995</v>
          </cell>
        </row>
        <row r="899">
          <cell r="B899" t="str">
            <v>Tiffaney Jones</v>
          </cell>
          <cell r="C899">
            <v>1785</v>
          </cell>
          <cell r="D899">
            <v>0.91469999999999996</v>
          </cell>
          <cell r="E899">
            <v>0.75780000000000003</v>
          </cell>
          <cell r="F899">
            <v>0.94689999999999996</v>
          </cell>
          <cell r="G899">
            <v>0.99690000000000001</v>
          </cell>
          <cell r="H899">
            <v>0.88549999999999995</v>
          </cell>
        </row>
        <row r="900">
          <cell r="B900" t="str">
            <v>Casey Enriquez</v>
          </cell>
          <cell r="C900">
            <v>1781</v>
          </cell>
          <cell r="D900">
            <v>0.87809999999999999</v>
          </cell>
          <cell r="E900">
            <v>0.6532</v>
          </cell>
          <cell r="F900">
            <v>0.82750000000000001</v>
          </cell>
          <cell r="G900">
            <v>0.99</v>
          </cell>
          <cell r="H900">
            <v>0.80669999999999997</v>
          </cell>
        </row>
        <row r="901">
          <cell r="B901" t="str">
            <v>Brady Bacon</v>
          </cell>
          <cell r="C901">
            <v>1780</v>
          </cell>
          <cell r="D901">
            <v>0.7631</v>
          </cell>
          <cell r="E901">
            <v>0.67720000000000002</v>
          </cell>
          <cell r="F901">
            <v>0.89500000000000002</v>
          </cell>
          <cell r="G901">
            <v>0.99109999999999998</v>
          </cell>
          <cell r="H901">
            <v>0.79969999999999997</v>
          </cell>
        </row>
        <row r="902">
          <cell r="B902" t="str">
            <v>Briana Wilson</v>
          </cell>
          <cell r="C902">
            <v>1779</v>
          </cell>
          <cell r="D902">
            <v>0.95620000000000005</v>
          </cell>
          <cell r="E902">
            <v>0.72219999999999995</v>
          </cell>
          <cell r="F902">
            <v>0.92320000000000002</v>
          </cell>
          <cell r="G902">
            <v>0.99619999999999997</v>
          </cell>
          <cell r="H902">
            <v>0.88009999999999999</v>
          </cell>
        </row>
        <row r="903">
          <cell r="B903" t="str">
            <v>Lastacia Ard</v>
          </cell>
          <cell r="C903">
            <v>1777</v>
          </cell>
          <cell r="D903">
            <v>0.86870000000000003</v>
          </cell>
          <cell r="E903">
            <v>0.65890000000000004</v>
          </cell>
          <cell r="F903">
            <v>0.85419999999999996</v>
          </cell>
          <cell r="G903">
            <v>0.98609999999999998</v>
          </cell>
          <cell r="H903">
            <v>0.81310000000000004</v>
          </cell>
        </row>
        <row r="904">
          <cell r="B904" t="str">
            <v>Ashley Wilson</v>
          </cell>
          <cell r="C904">
            <v>1776</v>
          </cell>
          <cell r="D904">
            <v>0.91649999999999998</v>
          </cell>
          <cell r="E904">
            <v>0.70530000000000004</v>
          </cell>
          <cell r="F904">
            <v>0.91910000000000003</v>
          </cell>
          <cell r="G904">
            <v>0.99650000000000005</v>
          </cell>
          <cell r="H904">
            <v>0.8619</v>
          </cell>
        </row>
        <row r="905">
          <cell r="B905" t="str">
            <v>Angie McDonald</v>
          </cell>
          <cell r="C905">
            <v>1774</v>
          </cell>
          <cell r="D905">
            <v>0.89829999999999999</v>
          </cell>
          <cell r="E905">
            <v>0.72699999999999998</v>
          </cell>
          <cell r="F905">
            <v>0.91420000000000001</v>
          </cell>
          <cell r="G905">
            <v>0.99780000000000002</v>
          </cell>
          <cell r="H905">
            <v>0.86160000000000003</v>
          </cell>
        </row>
        <row r="906">
          <cell r="B906" t="str">
            <v>LaTressa Pritchett</v>
          </cell>
          <cell r="C906">
            <v>1769</v>
          </cell>
          <cell r="D906">
            <v>0.79559999999999997</v>
          </cell>
          <cell r="E906">
            <v>0.68710000000000004</v>
          </cell>
          <cell r="F906">
            <v>0.91839999999999999</v>
          </cell>
          <cell r="G906">
            <v>0.99409999999999998</v>
          </cell>
          <cell r="H906">
            <v>0.81969999999999998</v>
          </cell>
        </row>
        <row r="907">
          <cell r="B907" t="str">
            <v>Michelle Denson</v>
          </cell>
          <cell r="C907">
            <v>1768</v>
          </cell>
          <cell r="D907">
            <v>0.87539999999999996</v>
          </cell>
          <cell r="E907">
            <v>0.68</v>
          </cell>
          <cell r="F907">
            <v>0.85009999999999997</v>
          </cell>
          <cell r="G907">
            <v>0.99139999999999995</v>
          </cell>
          <cell r="H907">
            <v>0.82079999999999997</v>
          </cell>
        </row>
        <row r="908">
          <cell r="B908" t="str">
            <v>Christian Tuggle</v>
          </cell>
          <cell r="C908">
            <v>1767</v>
          </cell>
          <cell r="D908">
            <v>0.90569999999999995</v>
          </cell>
          <cell r="E908">
            <v>0.68210000000000004</v>
          </cell>
          <cell r="F908">
            <v>0.88300000000000001</v>
          </cell>
          <cell r="G908">
            <v>0.9929</v>
          </cell>
          <cell r="H908">
            <v>0.84050000000000002</v>
          </cell>
        </row>
        <row r="909">
          <cell r="B909" t="str">
            <v>Bridget Shellman</v>
          </cell>
          <cell r="C909">
            <v>1759</v>
          </cell>
          <cell r="D909">
            <v>0.9042</v>
          </cell>
          <cell r="E909">
            <v>0.71130000000000004</v>
          </cell>
          <cell r="F909">
            <v>0.91449999999999998</v>
          </cell>
          <cell r="G909">
            <v>0.99550000000000005</v>
          </cell>
          <cell r="H909">
            <v>0.85850000000000004</v>
          </cell>
        </row>
        <row r="910">
          <cell r="B910" t="str">
            <v>James Gilbert III</v>
          </cell>
          <cell r="C910">
            <v>1757</v>
          </cell>
          <cell r="D910">
            <v>0.89739999999999998</v>
          </cell>
          <cell r="E910">
            <v>0.66300000000000003</v>
          </cell>
          <cell r="F910">
            <v>0.93889999999999996</v>
          </cell>
          <cell r="G910">
            <v>0.98950000000000005</v>
          </cell>
          <cell r="H910">
            <v>0.84870000000000001</v>
          </cell>
        </row>
        <row r="911">
          <cell r="B911" t="str">
            <v>Lilliana Perales</v>
          </cell>
          <cell r="C911">
            <v>1754</v>
          </cell>
          <cell r="D911">
            <v>0.93179999999999996</v>
          </cell>
          <cell r="E911">
            <v>0.69159999999999999</v>
          </cell>
          <cell r="F911">
            <v>0.89639999999999997</v>
          </cell>
          <cell r="G911">
            <v>0.99570000000000003</v>
          </cell>
          <cell r="H911">
            <v>0.85550000000000004</v>
          </cell>
        </row>
        <row r="912">
          <cell r="B912" t="str">
            <v>Alyssa Murtagh</v>
          </cell>
          <cell r="C912">
            <v>1754</v>
          </cell>
          <cell r="D912">
            <v>0.82950000000000002</v>
          </cell>
          <cell r="E912">
            <v>0.66849999999999998</v>
          </cell>
          <cell r="F912">
            <v>0.87080000000000002</v>
          </cell>
          <cell r="G912">
            <v>0.99080000000000001</v>
          </cell>
          <cell r="H912">
            <v>0.80969999999999998</v>
          </cell>
        </row>
        <row r="913">
          <cell r="B913" t="str">
            <v>Maria Muhammad</v>
          </cell>
          <cell r="C913">
            <v>1749</v>
          </cell>
          <cell r="D913">
            <v>0.93320000000000003</v>
          </cell>
          <cell r="E913">
            <v>0.69589999999999996</v>
          </cell>
          <cell r="F913">
            <v>0.91100000000000003</v>
          </cell>
          <cell r="G913">
            <v>0.99529999999999996</v>
          </cell>
          <cell r="H913">
            <v>0.86160000000000003</v>
          </cell>
        </row>
        <row r="914">
          <cell r="B914" t="str">
            <v>Elizabeth Castro</v>
          </cell>
          <cell r="C914">
            <v>1748</v>
          </cell>
          <cell r="D914">
            <v>0.86429999999999996</v>
          </cell>
          <cell r="E914">
            <v>0.71060000000000001</v>
          </cell>
          <cell r="F914">
            <v>0.92730000000000001</v>
          </cell>
          <cell r="G914">
            <v>0.98970000000000002</v>
          </cell>
          <cell r="H914">
            <v>0.84960000000000002</v>
          </cell>
        </row>
        <row r="915">
          <cell r="B915" t="str">
            <v>Kammy Bright</v>
          </cell>
          <cell r="C915">
            <v>1747</v>
          </cell>
          <cell r="D915">
            <v>0.94069999999999998</v>
          </cell>
          <cell r="E915">
            <v>0.7248</v>
          </cell>
          <cell r="F915">
            <v>0.92769999999999997</v>
          </cell>
          <cell r="G915">
            <v>0.98880000000000001</v>
          </cell>
          <cell r="H915">
            <v>0.87680000000000002</v>
          </cell>
        </row>
        <row r="916">
          <cell r="B916" t="str">
            <v>Erskine Johnson</v>
          </cell>
          <cell r="C916">
            <v>1747</v>
          </cell>
          <cell r="D916">
            <v>0.96250000000000002</v>
          </cell>
          <cell r="E916">
            <v>0.70920000000000005</v>
          </cell>
          <cell r="F916">
            <v>0.86299999999999999</v>
          </cell>
          <cell r="G916">
            <v>0.99380000000000002</v>
          </cell>
          <cell r="H916">
            <v>0.85980000000000001</v>
          </cell>
        </row>
        <row r="917">
          <cell r="B917" t="str">
            <v>Franjuste Bertrand</v>
          </cell>
          <cell r="C917">
            <v>1746</v>
          </cell>
          <cell r="D917">
            <v>0.90739999999999998</v>
          </cell>
          <cell r="E917">
            <v>0.6633</v>
          </cell>
          <cell r="F917">
            <v>0.80179999999999996</v>
          </cell>
          <cell r="G917">
            <v>0.99439999999999995</v>
          </cell>
          <cell r="H917">
            <v>0.81120000000000003</v>
          </cell>
        </row>
        <row r="918">
          <cell r="B918" t="str">
            <v>Cornesha Ford</v>
          </cell>
          <cell r="C918">
            <v>1744</v>
          </cell>
          <cell r="D918">
            <v>0.95569999999999999</v>
          </cell>
          <cell r="E918">
            <v>0.7036</v>
          </cell>
          <cell r="F918">
            <v>0.93140000000000001</v>
          </cell>
          <cell r="G918">
            <v>0.98740000000000006</v>
          </cell>
          <cell r="H918">
            <v>0.876</v>
          </cell>
        </row>
        <row r="919">
          <cell r="B919" t="str">
            <v>Samantha Farley</v>
          </cell>
          <cell r="C919">
            <v>1742</v>
          </cell>
          <cell r="D919">
            <v>0.93989999999999996</v>
          </cell>
          <cell r="E919">
            <v>0.69620000000000004</v>
          </cell>
          <cell r="F919">
            <v>0.93510000000000004</v>
          </cell>
          <cell r="G919">
            <v>0.98970000000000002</v>
          </cell>
          <cell r="H919">
            <v>0.87029999999999996</v>
          </cell>
        </row>
        <row r="920">
          <cell r="B920" t="str">
            <v>Beatriz Sanchez</v>
          </cell>
          <cell r="C920">
            <v>1742</v>
          </cell>
          <cell r="D920">
            <v>0.31080000000000002</v>
          </cell>
          <cell r="E920">
            <v>0.60819999999999996</v>
          </cell>
          <cell r="F920">
            <v>0.79010000000000002</v>
          </cell>
          <cell r="G920">
            <v>0.97140000000000004</v>
          </cell>
          <cell r="H920">
            <v>0.6099</v>
          </cell>
        </row>
        <row r="921">
          <cell r="B921" t="str">
            <v>Tori Jean</v>
          </cell>
          <cell r="C921">
            <v>1740</v>
          </cell>
          <cell r="D921">
            <v>0.9587</v>
          </cell>
          <cell r="E921">
            <v>0.66959999999999997</v>
          </cell>
          <cell r="F921">
            <v>0.872</v>
          </cell>
          <cell r="G921">
            <v>0.99119999999999997</v>
          </cell>
          <cell r="H921">
            <v>0.84919999999999995</v>
          </cell>
        </row>
        <row r="922">
          <cell r="B922" t="str">
            <v>Caressa Nelson</v>
          </cell>
          <cell r="C922">
            <v>1740</v>
          </cell>
          <cell r="D922">
            <v>0.72489999999999999</v>
          </cell>
          <cell r="E922">
            <v>0.6804</v>
          </cell>
          <cell r="F922">
            <v>0.87029999999999996</v>
          </cell>
          <cell r="G922">
            <v>0.99839999999999995</v>
          </cell>
          <cell r="H922">
            <v>0.78249999999999997</v>
          </cell>
        </row>
        <row r="923">
          <cell r="B923" t="str">
            <v>William Hill</v>
          </cell>
          <cell r="C923">
            <v>1735</v>
          </cell>
          <cell r="D923">
            <v>0.9103</v>
          </cell>
          <cell r="E923">
            <v>0.70609999999999995</v>
          </cell>
          <cell r="F923">
            <v>0.92420000000000002</v>
          </cell>
          <cell r="G923">
            <v>0.9899</v>
          </cell>
          <cell r="H923">
            <v>0.86119999999999997</v>
          </cell>
        </row>
        <row r="924">
          <cell r="B924" t="str">
            <v>Vivianne Lara</v>
          </cell>
          <cell r="C924">
            <v>1733</v>
          </cell>
          <cell r="D924">
            <v>0.90790000000000004</v>
          </cell>
          <cell r="E924">
            <v>0.70960000000000001</v>
          </cell>
          <cell r="F924">
            <v>0.9335</v>
          </cell>
          <cell r="G924">
            <v>0.99170000000000003</v>
          </cell>
          <cell r="H924">
            <v>0.86450000000000005</v>
          </cell>
        </row>
        <row r="925">
          <cell r="B925" t="str">
            <v>Aundreya McClain</v>
          </cell>
          <cell r="C925">
            <v>1732</v>
          </cell>
          <cell r="D925">
            <v>0.80020000000000002</v>
          </cell>
          <cell r="E925">
            <v>0.64129999999999998</v>
          </cell>
          <cell r="F925">
            <v>0.88049999999999995</v>
          </cell>
          <cell r="G925">
            <v>0.98899999999999999</v>
          </cell>
          <cell r="H925">
            <v>0.79549999999999998</v>
          </cell>
        </row>
        <row r="926">
          <cell r="B926" t="str">
            <v>Carmen Dixon</v>
          </cell>
          <cell r="C926">
            <v>1732</v>
          </cell>
          <cell r="D926">
            <v>0.88139999999999996</v>
          </cell>
          <cell r="E926">
            <v>0.68630000000000002</v>
          </cell>
          <cell r="F926">
            <v>0.92589999999999995</v>
          </cell>
          <cell r="G926">
            <v>0.99480000000000002</v>
          </cell>
          <cell r="H926">
            <v>0.84760000000000002</v>
          </cell>
        </row>
        <row r="927">
          <cell r="B927" t="str">
            <v>Rosa Verduzco</v>
          </cell>
          <cell r="C927">
            <v>1730</v>
          </cell>
          <cell r="D927">
            <v>0.3493</v>
          </cell>
          <cell r="E927">
            <v>0.62890000000000001</v>
          </cell>
          <cell r="F927">
            <v>0.8276</v>
          </cell>
          <cell r="G927">
            <v>0.98799999999999999</v>
          </cell>
          <cell r="H927">
            <v>0.64049999999999996</v>
          </cell>
        </row>
        <row r="928">
          <cell r="B928" t="str">
            <v>Crystal Jost</v>
          </cell>
          <cell r="C928">
            <v>1728</v>
          </cell>
          <cell r="D928">
            <v>0.87070000000000003</v>
          </cell>
          <cell r="E928">
            <v>0.68189999999999995</v>
          </cell>
          <cell r="F928">
            <v>0.90069999999999995</v>
          </cell>
          <cell r="G928">
            <v>0.99</v>
          </cell>
          <cell r="H928">
            <v>0.83499999999999996</v>
          </cell>
        </row>
        <row r="929">
          <cell r="B929" t="str">
            <v>Amanada Anderson</v>
          </cell>
          <cell r="C929">
            <v>1728</v>
          </cell>
          <cell r="D929">
            <v>0.92090000000000005</v>
          </cell>
          <cell r="E929">
            <v>0.75480000000000003</v>
          </cell>
          <cell r="F929">
            <v>0.95660000000000001</v>
          </cell>
          <cell r="G929">
            <v>0.99339999999999995</v>
          </cell>
          <cell r="H929">
            <v>0.88900000000000001</v>
          </cell>
        </row>
        <row r="930">
          <cell r="B930" t="str">
            <v>Brenda Vestering</v>
          </cell>
          <cell r="C930">
            <v>1722</v>
          </cell>
          <cell r="D930">
            <v>0.9123</v>
          </cell>
          <cell r="E930">
            <v>0.6976</v>
          </cell>
          <cell r="F930">
            <v>0.90759999999999996</v>
          </cell>
          <cell r="G930">
            <v>0.98929999999999996</v>
          </cell>
          <cell r="H930">
            <v>0.85419999999999996</v>
          </cell>
        </row>
        <row r="931">
          <cell r="B931" t="str">
            <v>Madyson Bielby</v>
          </cell>
          <cell r="C931">
            <v>1721</v>
          </cell>
          <cell r="D931">
            <v>0.7601</v>
          </cell>
          <cell r="E931">
            <v>0.67559999999999998</v>
          </cell>
          <cell r="F931">
            <v>0.88049999999999995</v>
          </cell>
          <cell r="G931">
            <v>0.98799999999999999</v>
          </cell>
          <cell r="H931">
            <v>0.79359999999999997</v>
          </cell>
        </row>
        <row r="932">
          <cell r="B932" t="str">
            <v>Shakaria Burt</v>
          </cell>
          <cell r="C932">
            <v>1721</v>
          </cell>
          <cell r="D932">
            <v>0.8448</v>
          </cell>
          <cell r="E932">
            <v>0.65610000000000002</v>
          </cell>
          <cell r="F932">
            <v>0.86509999999999998</v>
          </cell>
          <cell r="G932">
            <v>0.98809999999999998</v>
          </cell>
          <cell r="H932">
            <v>0.80859999999999999</v>
          </cell>
        </row>
        <row r="933">
          <cell r="B933" t="str">
            <v>Jessica Cooper</v>
          </cell>
          <cell r="C933">
            <v>1719</v>
          </cell>
          <cell r="D933">
            <v>0.92030000000000001</v>
          </cell>
          <cell r="E933">
            <v>0.71950000000000003</v>
          </cell>
          <cell r="F933">
            <v>0.9113</v>
          </cell>
          <cell r="G933">
            <v>0.99339999999999995</v>
          </cell>
          <cell r="H933">
            <v>0.86470000000000002</v>
          </cell>
        </row>
        <row r="934">
          <cell r="B934" t="str">
            <v>Michelle Ivy</v>
          </cell>
          <cell r="C934">
            <v>1718</v>
          </cell>
          <cell r="D934">
            <v>0.93640000000000001</v>
          </cell>
          <cell r="E934">
            <v>0.66810000000000003</v>
          </cell>
          <cell r="F934">
            <v>0.87080000000000002</v>
          </cell>
          <cell r="G934">
            <v>0.99239999999999995</v>
          </cell>
          <cell r="H934">
            <v>0.84179999999999999</v>
          </cell>
        </row>
        <row r="935">
          <cell r="B935" t="str">
            <v>Pamary Cabrera</v>
          </cell>
          <cell r="C935">
            <v>1716</v>
          </cell>
          <cell r="D935">
            <v>0.39929999999999999</v>
          </cell>
          <cell r="E935">
            <v>0.68899999999999995</v>
          </cell>
          <cell r="F935">
            <v>0.82420000000000004</v>
          </cell>
          <cell r="G935">
            <v>0.99219999999999997</v>
          </cell>
          <cell r="H935">
            <v>0.67300000000000004</v>
          </cell>
        </row>
        <row r="936">
          <cell r="B936" t="str">
            <v>Keyarrah Brown</v>
          </cell>
          <cell r="C936">
            <v>1714</v>
          </cell>
          <cell r="D936">
            <v>0.9103</v>
          </cell>
          <cell r="E936">
            <v>0.64</v>
          </cell>
          <cell r="F936">
            <v>0.86250000000000004</v>
          </cell>
          <cell r="G936">
            <v>0.99380000000000002</v>
          </cell>
          <cell r="H936">
            <v>0.82330000000000003</v>
          </cell>
        </row>
        <row r="937">
          <cell r="B937" t="str">
            <v>Jennifer Layton</v>
          </cell>
          <cell r="C937">
            <v>1712</v>
          </cell>
          <cell r="D937">
            <v>0.91639999999999999</v>
          </cell>
          <cell r="E937">
            <v>0.66810000000000003</v>
          </cell>
          <cell r="F937">
            <v>0.90949999999999998</v>
          </cell>
          <cell r="G937">
            <v>0.98360000000000003</v>
          </cell>
          <cell r="H937">
            <v>0.84660000000000002</v>
          </cell>
        </row>
        <row r="938">
          <cell r="B938" t="str">
            <v>Karen Vaughan</v>
          </cell>
          <cell r="C938">
            <v>1711</v>
          </cell>
          <cell r="D938">
            <v>0.87909999999999999</v>
          </cell>
          <cell r="E938">
            <v>0.67159999999999997</v>
          </cell>
          <cell r="F938">
            <v>0.94779999999999998</v>
          </cell>
          <cell r="G938">
            <v>0.99229999999999996</v>
          </cell>
          <cell r="H938">
            <v>0.8488</v>
          </cell>
        </row>
        <row r="939">
          <cell r="B939" t="str">
            <v>Casi Crockett</v>
          </cell>
          <cell r="C939">
            <v>1707</v>
          </cell>
          <cell r="D939">
            <v>0.93149999999999999</v>
          </cell>
          <cell r="E939">
            <v>0.70750000000000002</v>
          </cell>
          <cell r="F939">
            <v>0.94369999999999998</v>
          </cell>
          <cell r="G939">
            <v>0.99180000000000001</v>
          </cell>
          <cell r="H939">
            <v>0.874</v>
          </cell>
        </row>
        <row r="940">
          <cell r="B940" t="str">
            <v>Daphney Calice</v>
          </cell>
          <cell r="C940">
            <v>1705</v>
          </cell>
          <cell r="D940">
            <v>0.95699999999999996</v>
          </cell>
          <cell r="E940">
            <v>0.66839999999999999</v>
          </cell>
          <cell r="F940">
            <v>0.91579999999999995</v>
          </cell>
          <cell r="G940">
            <v>0.98540000000000005</v>
          </cell>
          <cell r="H940">
            <v>0.8609</v>
          </cell>
        </row>
        <row r="941">
          <cell r="B941" t="str">
            <v>LaTangelia Williams</v>
          </cell>
          <cell r="C941">
            <v>1697</v>
          </cell>
          <cell r="D941">
            <v>0.88890000000000002</v>
          </cell>
          <cell r="E941">
            <v>0.69159999999999999</v>
          </cell>
          <cell r="F941">
            <v>0.86990000000000001</v>
          </cell>
          <cell r="G941">
            <v>0.99439999999999995</v>
          </cell>
          <cell r="H941">
            <v>0.83460000000000001</v>
          </cell>
        </row>
        <row r="942">
          <cell r="B942" t="str">
            <v>Tiaudra Brisbon</v>
          </cell>
          <cell r="C942">
            <v>1695</v>
          </cell>
          <cell r="D942">
            <v>0.88149999999999995</v>
          </cell>
          <cell r="E942">
            <v>0.66969999999999996</v>
          </cell>
          <cell r="F942">
            <v>0.87729999999999997</v>
          </cell>
          <cell r="G942">
            <v>0.9909</v>
          </cell>
          <cell r="H942">
            <v>0.8276</v>
          </cell>
        </row>
        <row r="943">
          <cell r="B943" t="str">
            <v>Rikora Ballard</v>
          </cell>
          <cell r="C943">
            <v>1691</v>
          </cell>
          <cell r="D943">
            <v>0.90959999999999996</v>
          </cell>
          <cell r="E943">
            <v>0.70179999999999998</v>
          </cell>
          <cell r="F943">
            <v>0.91849999999999998</v>
          </cell>
          <cell r="G943">
            <v>0.99370000000000003</v>
          </cell>
          <cell r="H943">
            <v>0.85829999999999995</v>
          </cell>
        </row>
        <row r="944">
          <cell r="B944" t="str">
            <v>Jasmine Henderson</v>
          </cell>
          <cell r="C944">
            <v>1691</v>
          </cell>
          <cell r="D944">
            <v>0.95209999999999995</v>
          </cell>
          <cell r="E944">
            <v>0.71850000000000003</v>
          </cell>
          <cell r="F944">
            <v>0.86360000000000003</v>
          </cell>
          <cell r="G944">
            <v>0.98939999999999995</v>
          </cell>
          <cell r="H944">
            <v>0.85919999999999996</v>
          </cell>
        </row>
        <row r="945">
          <cell r="B945" t="str">
            <v>Tennesia Blair</v>
          </cell>
          <cell r="C945">
            <v>1687</v>
          </cell>
          <cell r="D945">
            <v>0.91349999999999998</v>
          </cell>
          <cell r="E945">
            <v>0.65400000000000003</v>
          </cell>
          <cell r="F945">
            <v>0.92630000000000001</v>
          </cell>
          <cell r="G945">
            <v>0.98939999999999995</v>
          </cell>
          <cell r="H945">
            <v>0.84709999999999996</v>
          </cell>
        </row>
        <row r="946">
          <cell r="B946" t="str">
            <v>April Neugent</v>
          </cell>
          <cell r="C946">
            <v>1684</v>
          </cell>
          <cell r="D946">
            <v>0.94710000000000005</v>
          </cell>
          <cell r="E946">
            <v>0.70289999999999997</v>
          </cell>
          <cell r="F946">
            <v>0.84889999999999999</v>
          </cell>
          <cell r="G946">
            <v>0.99170000000000003</v>
          </cell>
          <cell r="H946">
            <v>0.8488</v>
          </cell>
        </row>
        <row r="947">
          <cell r="B947" t="str">
            <v>Marc Muniz</v>
          </cell>
          <cell r="C947">
            <v>1682</v>
          </cell>
          <cell r="D947">
            <v>0.91390000000000005</v>
          </cell>
          <cell r="E947">
            <v>0.74639999999999995</v>
          </cell>
          <cell r="F947">
            <v>0.92759999999999998</v>
          </cell>
          <cell r="G947">
            <v>0.99409999999999998</v>
          </cell>
          <cell r="H947">
            <v>0.87580000000000002</v>
          </cell>
        </row>
        <row r="948">
          <cell r="B948" t="str">
            <v>Alexis McGill</v>
          </cell>
          <cell r="C948">
            <v>1682</v>
          </cell>
          <cell r="D948">
            <v>0.84179999999999999</v>
          </cell>
          <cell r="E948">
            <v>0.65239999999999998</v>
          </cell>
          <cell r="F948">
            <v>0.91969999999999996</v>
          </cell>
          <cell r="G948">
            <v>0.98660000000000003</v>
          </cell>
          <cell r="H948">
            <v>0.82289999999999996</v>
          </cell>
        </row>
        <row r="949">
          <cell r="B949" t="str">
            <v>Haley Rose</v>
          </cell>
          <cell r="C949">
            <v>1679</v>
          </cell>
          <cell r="D949">
            <v>0.96689999999999998</v>
          </cell>
          <cell r="E949">
            <v>0.69610000000000005</v>
          </cell>
          <cell r="F949">
            <v>0.94179999999999997</v>
          </cell>
          <cell r="G949">
            <v>0.99270000000000003</v>
          </cell>
          <cell r="H949">
            <v>0.88070000000000004</v>
          </cell>
        </row>
        <row r="950">
          <cell r="B950" t="str">
            <v>Danielle Graham</v>
          </cell>
          <cell r="C950">
            <v>1679</v>
          </cell>
          <cell r="D950">
            <v>0.91739999999999999</v>
          </cell>
          <cell r="E950">
            <v>0.70599999999999996</v>
          </cell>
          <cell r="F950">
            <v>0.89029999999999998</v>
          </cell>
          <cell r="G950">
            <v>0.99219999999999997</v>
          </cell>
          <cell r="H950">
            <v>0.85329999999999995</v>
          </cell>
        </row>
        <row r="951">
          <cell r="B951" t="str">
            <v>Tommi Kidd</v>
          </cell>
          <cell r="C951">
            <v>1678</v>
          </cell>
          <cell r="D951">
            <v>0.90249999999999997</v>
          </cell>
          <cell r="E951">
            <v>0.64780000000000004</v>
          </cell>
          <cell r="F951">
            <v>0.90310000000000001</v>
          </cell>
          <cell r="G951">
            <v>0.99590000000000001</v>
          </cell>
          <cell r="H951">
            <v>0.83560000000000001</v>
          </cell>
        </row>
        <row r="952">
          <cell r="B952" t="str">
            <v>Lamuadra Walker</v>
          </cell>
          <cell r="C952">
            <v>1678</v>
          </cell>
          <cell r="D952">
            <v>0.9728</v>
          </cell>
          <cell r="E952">
            <v>0.73770000000000002</v>
          </cell>
          <cell r="F952">
            <v>0.9395</v>
          </cell>
          <cell r="G952">
            <v>0.99709999999999999</v>
          </cell>
          <cell r="H952">
            <v>0.89470000000000005</v>
          </cell>
        </row>
        <row r="953">
          <cell r="B953" t="str">
            <v>Hanna Zavala</v>
          </cell>
          <cell r="C953">
            <v>1672</v>
          </cell>
          <cell r="D953">
            <v>0.9264</v>
          </cell>
          <cell r="E953">
            <v>0.69110000000000005</v>
          </cell>
          <cell r="F953">
            <v>0.89949999999999997</v>
          </cell>
          <cell r="G953">
            <v>0.99490000000000001</v>
          </cell>
          <cell r="H953">
            <v>0.85460000000000003</v>
          </cell>
        </row>
        <row r="954">
          <cell r="B954" t="str">
            <v>Tristan Tiede</v>
          </cell>
          <cell r="C954">
            <v>1669</v>
          </cell>
          <cell r="D954">
            <v>0.88619999999999999</v>
          </cell>
          <cell r="E954">
            <v>0.70550000000000002</v>
          </cell>
          <cell r="F954">
            <v>0.94299999999999995</v>
          </cell>
          <cell r="G954">
            <v>0.99099999999999999</v>
          </cell>
          <cell r="H954">
            <v>0.85950000000000004</v>
          </cell>
        </row>
        <row r="955">
          <cell r="B955" t="str">
            <v>Sandra Nardini</v>
          </cell>
          <cell r="C955">
            <v>1664</v>
          </cell>
          <cell r="D955">
            <v>0.86009999999999998</v>
          </cell>
          <cell r="E955">
            <v>0.70430000000000004</v>
          </cell>
          <cell r="F955">
            <v>0.79079999999999995</v>
          </cell>
          <cell r="G955">
            <v>0.99309999999999998</v>
          </cell>
          <cell r="H955">
            <v>0.80589999999999995</v>
          </cell>
        </row>
        <row r="956">
          <cell r="B956" t="str">
            <v>Maiaysia Hawkins</v>
          </cell>
          <cell r="C956">
            <v>1660</v>
          </cell>
          <cell r="D956">
            <v>0.8669</v>
          </cell>
          <cell r="E956">
            <v>0.70389999999999997</v>
          </cell>
          <cell r="F956">
            <v>0.91080000000000005</v>
          </cell>
          <cell r="G956">
            <v>0.98370000000000002</v>
          </cell>
          <cell r="H956">
            <v>0.84289999999999998</v>
          </cell>
        </row>
        <row r="957">
          <cell r="B957" t="str">
            <v>Tamara Ormiston</v>
          </cell>
          <cell r="C957">
            <v>1660</v>
          </cell>
          <cell r="D957">
            <v>0.89780000000000004</v>
          </cell>
          <cell r="E957">
            <v>0.70250000000000001</v>
          </cell>
          <cell r="F957">
            <v>0.94220000000000004</v>
          </cell>
          <cell r="G957">
            <v>0.99460000000000004</v>
          </cell>
          <cell r="H957">
            <v>0.86219999999999997</v>
          </cell>
        </row>
        <row r="958">
          <cell r="B958" t="str">
            <v>Keziah Liggins</v>
          </cell>
          <cell r="C958">
            <v>1656</v>
          </cell>
          <cell r="D958">
            <v>0.9224</v>
          </cell>
          <cell r="E958">
            <v>0.67490000000000006</v>
          </cell>
          <cell r="F958">
            <v>0.83809999999999996</v>
          </cell>
          <cell r="G958">
            <v>0.99509999999999998</v>
          </cell>
          <cell r="H958">
            <v>0.83009999999999995</v>
          </cell>
        </row>
        <row r="959">
          <cell r="B959" t="str">
            <v>Camila McCallum</v>
          </cell>
          <cell r="C959">
            <v>1654</v>
          </cell>
          <cell r="D959">
            <v>0.95579999999999998</v>
          </cell>
          <cell r="E959">
            <v>0.69510000000000005</v>
          </cell>
          <cell r="F959">
            <v>0.90139999999999998</v>
          </cell>
          <cell r="G959">
            <v>0.9788</v>
          </cell>
          <cell r="H959">
            <v>0.86360000000000003</v>
          </cell>
        </row>
        <row r="960">
          <cell r="B960" t="str">
            <v>Nichole Choice</v>
          </cell>
          <cell r="C960">
            <v>1653</v>
          </cell>
          <cell r="D960">
            <v>0.95709999999999995</v>
          </cell>
          <cell r="E960">
            <v>0.75929999999999997</v>
          </cell>
          <cell r="F960">
            <v>0.92479999999999996</v>
          </cell>
          <cell r="G960">
            <v>0.99809999999999999</v>
          </cell>
          <cell r="H960">
            <v>0.89219999999999999</v>
          </cell>
        </row>
        <row r="961">
          <cell r="B961" t="str">
            <v>Kendra Cloud</v>
          </cell>
          <cell r="C961">
            <v>1652</v>
          </cell>
          <cell r="D961">
            <v>0.90739999999999998</v>
          </cell>
          <cell r="E961">
            <v>0.70499999999999996</v>
          </cell>
          <cell r="F961">
            <v>0.92410000000000003</v>
          </cell>
          <cell r="G961">
            <v>0.98950000000000005</v>
          </cell>
          <cell r="H961">
            <v>0.8599</v>
          </cell>
        </row>
        <row r="962">
          <cell r="B962" t="str">
            <v>Sarita Bocas</v>
          </cell>
          <cell r="C962">
            <v>1650</v>
          </cell>
          <cell r="D962">
            <v>0.80969999999999998</v>
          </cell>
          <cell r="E962">
            <v>0.67830000000000001</v>
          </cell>
          <cell r="F962">
            <v>0.91059999999999997</v>
          </cell>
          <cell r="G962">
            <v>0.99150000000000005</v>
          </cell>
          <cell r="H962">
            <v>0.81869999999999998</v>
          </cell>
        </row>
        <row r="963">
          <cell r="B963" t="str">
            <v>Frank Guermonprez</v>
          </cell>
          <cell r="C963">
            <v>1650</v>
          </cell>
          <cell r="D963">
            <v>0.82950000000000002</v>
          </cell>
          <cell r="E963">
            <v>0.67659999999999998</v>
          </cell>
          <cell r="F963">
            <v>0.9133</v>
          </cell>
          <cell r="G963">
            <v>0.98380000000000001</v>
          </cell>
          <cell r="H963">
            <v>0.82420000000000004</v>
          </cell>
        </row>
        <row r="964">
          <cell r="B964" t="str">
            <v>Karmen Holder</v>
          </cell>
          <cell r="C964">
            <v>1645</v>
          </cell>
          <cell r="D964">
            <v>0.89849999999999997</v>
          </cell>
          <cell r="E964">
            <v>0.70450000000000002</v>
          </cell>
          <cell r="F964">
            <v>0.88600000000000001</v>
          </cell>
          <cell r="G964">
            <v>0.99250000000000005</v>
          </cell>
          <cell r="H964">
            <v>0.84589999999999999</v>
          </cell>
        </row>
        <row r="965">
          <cell r="B965" t="str">
            <v>Jarita Shaffer</v>
          </cell>
          <cell r="C965">
            <v>1640</v>
          </cell>
          <cell r="D965">
            <v>0.95640000000000003</v>
          </cell>
          <cell r="E965">
            <v>0.69359999999999999</v>
          </cell>
          <cell r="F965">
            <v>0.95709999999999995</v>
          </cell>
          <cell r="G965">
            <v>0.99199999999999999</v>
          </cell>
          <cell r="H965">
            <v>0.88139999999999996</v>
          </cell>
        </row>
        <row r="966">
          <cell r="B966" t="str">
            <v>Genny Moise</v>
          </cell>
          <cell r="C966">
            <v>1638</v>
          </cell>
          <cell r="D966">
            <v>0.95840000000000003</v>
          </cell>
          <cell r="E966">
            <v>0.67020000000000002</v>
          </cell>
          <cell r="F966">
            <v>0.82979999999999998</v>
          </cell>
          <cell r="G966">
            <v>0.99439999999999995</v>
          </cell>
          <cell r="H966">
            <v>0.83699999999999997</v>
          </cell>
        </row>
        <row r="967">
          <cell r="B967" t="str">
            <v>Neisha Horne</v>
          </cell>
          <cell r="C967">
            <v>1638</v>
          </cell>
          <cell r="D967">
            <v>0.97589999999999999</v>
          </cell>
          <cell r="E967">
            <v>0.71189999999999998</v>
          </cell>
          <cell r="F967">
            <v>0.93379999999999996</v>
          </cell>
          <cell r="G967">
            <v>0.99329999999999996</v>
          </cell>
          <cell r="H967">
            <v>0.88580000000000003</v>
          </cell>
        </row>
        <row r="968">
          <cell r="B968" t="str">
            <v>Sharmen McPhee</v>
          </cell>
          <cell r="C968">
            <v>1637</v>
          </cell>
          <cell r="D968">
            <v>0.88900000000000001</v>
          </cell>
          <cell r="E968">
            <v>0.72770000000000001</v>
          </cell>
          <cell r="F968">
            <v>0.91369999999999996</v>
          </cell>
          <cell r="G968">
            <v>0.99339999999999995</v>
          </cell>
          <cell r="H968">
            <v>0.85840000000000005</v>
          </cell>
        </row>
        <row r="969">
          <cell r="B969" t="str">
            <v>Bianca Wallace</v>
          </cell>
          <cell r="C969">
            <v>1635</v>
          </cell>
          <cell r="D969">
            <v>0.8891</v>
          </cell>
          <cell r="E969">
            <v>0.65980000000000005</v>
          </cell>
          <cell r="F969">
            <v>0.89839999999999998</v>
          </cell>
          <cell r="G969">
            <v>0.99280000000000002</v>
          </cell>
          <cell r="H969">
            <v>0.83340000000000003</v>
          </cell>
        </row>
        <row r="970">
          <cell r="B970" t="str">
            <v>Judith Turner</v>
          </cell>
          <cell r="C970">
            <v>1634</v>
          </cell>
          <cell r="D970">
            <v>0.94510000000000005</v>
          </cell>
          <cell r="E970">
            <v>0.66369999999999996</v>
          </cell>
          <cell r="F970">
            <v>0.87109999999999999</v>
          </cell>
          <cell r="G970">
            <v>0.99390000000000001</v>
          </cell>
          <cell r="H970">
            <v>0.84330000000000005</v>
          </cell>
        </row>
        <row r="971">
          <cell r="B971" t="str">
            <v>Christie Cumpton</v>
          </cell>
          <cell r="C971">
            <v>1632</v>
          </cell>
          <cell r="D971">
            <v>0.89300000000000002</v>
          </cell>
          <cell r="E971">
            <v>0.72009999999999996</v>
          </cell>
          <cell r="F971">
            <v>0.91320000000000001</v>
          </cell>
          <cell r="G971">
            <v>0.99229999999999996</v>
          </cell>
          <cell r="H971">
            <v>0.85709999999999997</v>
          </cell>
        </row>
        <row r="972">
          <cell r="B972" t="str">
            <v>Brigida Medina</v>
          </cell>
          <cell r="C972">
            <v>1630</v>
          </cell>
          <cell r="D972">
            <v>0.77080000000000004</v>
          </cell>
          <cell r="E972">
            <v>0.69979999999999998</v>
          </cell>
          <cell r="F972">
            <v>0.91590000000000005</v>
          </cell>
          <cell r="G972">
            <v>0.99180000000000001</v>
          </cell>
          <cell r="H972">
            <v>0.81510000000000005</v>
          </cell>
        </row>
        <row r="973">
          <cell r="B973" t="str">
            <v>Adonna Hardway</v>
          </cell>
          <cell r="C973">
            <v>1629</v>
          </cell>
          <cell r="D973">
            <v>0.36570000000000003</v>
          </cell>
          <cell r="E973">
            <v>0.68400000000000005</v>
          </cell>
          <cell r="F973">
            <v>0.75990000000000002</v>
          </cell>
          <cell r="G973">
            <v>0.97209999999999996</v>
          </cell>
          <cell r="H973">
            <v>0.6401</v>
          </cell>
        </row>
        <row r="974">
          <cell r="B974" t="str">
            <v>Kimberly Garcia</v>
          </cell>
          <cell r="C974">
            <v>1626</v>
          </cell>
          <cell r="D974">
            <v>0.84340000000000004</v>
          </cell>
          <cell r="E974">
            <v>0.77569999999999995</v>
          </cell>
          <cell r="F974">
            <v>0.89190000000000003</v>
          </cell>
          <cell r="G974">
            <v>0.9829</v>
          </cell>
          <cell r="H974">
            <v>0.85160000000000002</v>
          </cell>
        </row>
        <row r="975">
          <cell r="B975" t="str">
            <v>Monique Mitcham</v>
          </cell>
          <cell r="C975">
            <v>1624</v>
          </cell>
          <cell r="D975">
            <v>0.80900000000000005</v>
          </cell>
          <cell r="E975">
            <v>0.68440000000000001</v>
          </cell>
          <cell r="F975">
            <v>0.93159999999999998</v>
          </cell>
          <cell r="G975">
            <v>0.99350000000000005</v>
          </cell>
          <cell r="H975">
            <v>0.82679999999999998</v>
          </cell>
        </row>
        <row r="976">
          <cell r="B976" t="str">
            <v>Mariah Wagers</v>
          </cell>
          <cell r="C976">
            <v>1621</v>
          </cell>
          <cell r="D976">
            <v>0.9113</v>
          </cell>
          <cell r="E976">
            <v>0.68859999999999999</v>
          </cell>
          <cell r="F976">
            <v>0.85650000000000004</v>
          </cell>
          <cell r="G976">
            <v>0.99590000000000001</v>
          </cell>
          <cell r="H976">
            <v>0.83650000000000002</v>
          </cell>
        </row>
        <row r="977">
          <cell r="B977" t="str">
            <v>Jamie Perkins</v>
          </cell>
          <cell r="C977">
            <v>1615</v>
          </cell>
          <cell r="D977">
            <v>0.93489999999999995</v>
          </cell>
          <cell r="E977">
            <v>0.7147</v>
          </cell>
          <cell r="F977">
            <v>0.90710000000000002</v>
          </cell>
          <cell r="G977">
            <v>0.996</v>
          </cell>
          <cell r="H977">
            <v>0.86660000000000004</v>
          </cell>
        </row>
        <row r="978">
          <cell r="B978" t="str">
            <v>Byron Jones</v>
          </cell>
          <cell r="C978">
            <v>1611</v>
          </cell>
          <cell r="D978">
            <v>0.92020000000000002</v>
          </cell>
          <cell r="E978">
            <v>0.68289999999999995</v>
          </cell>
          <cell r="F978">
            <v>0.874</v>
          </cell>
          <cell r="G978">
            <v>0.98529999999999995</v>
          </cell>
          <cell r="H978">
            <v>0.8417</v>
          </cell>
        </row>
        <row r="979">
          <cell r="B979" t="str">
            <v>Lissa Ingram</v>
          </cell>
          <cell r="C979">
            <v>1602</v>
          </cell>
          <cell r="D979">
            <v>0.86439999999999995</v>
          </cell>
          <cell r="E979">
            <v>0.65710000000000002</v>
          </cell>
          <cell r="F979">
            <v>0.9022</v>
          </cell>
          <cell r="G979">
            <v>0.98119999999999996</v>
          </cell>
          <cell r="H979">
            <v>0.82520000000000004</v>
          </cell>
        </row>
        <row r="980">
          <cell r="B980" t="str">
            <v>Chartier Thornton</v>
          </cell>
          <cell r="C980">
            <v>1597</v>
          </cell>
          <cell r="D980">
            <v>0.90890000000000004</v>
          </cell>
          <cell r="E980">
            <v>0.63919999999999999</v>
          </cell>
          <cell r="F980">
            <v>0.81620000000000004</v>
          </cell>
          <cell r="G980">
            <v>0.99350000000000005</v>
          </cell>
          <cell r="H980">
            <v>0.80859999999999999</v>
          </cell>
        </row>
        <row r="981">
          <cell r="B981" t="str">
            <v>Maria Romero</v>
          </cell>
          <cell r="C981">
            <v>1595</v>
          </cell>
          <cell r="D981">
            <v>0.33439999999999998</v>
          </cell>
          <cell r="E981">
            <v>0.62739999999999996</v>
          </cell>
          <cell r="F981">
            <v>0.73509999999999998</v>
          </cell>
          <cell r="G981">
            <v>0.98199999999999998</v>
          </cell>
          <cell r="H981">
            <v>0.60729999999999995</v>
          </cell>
        </row>
        <row r="982">
          <cell r="B982" t="str">
            <v>Casandra Rodriguez</v>
          </cell>
          <cell r="C982">
            <v>1594</v>
          </cell>
          <cell r="D982">
            <v>0.92049999999999998</v>
          </cell>
          <cell r="E982">
            <v>0.74409999999999998</v>
          </cell>
          <cell r="F982">
            <v>0.91559999999999997</v>
          </cell>
          <cell r="G982">
            <v>0.99380000000000002</v>
          </cell>
          <cell r="H982">
            <v>0.87339999999999995</v>
          </cell>
        </row>
        <row r="983">
          <cell r="B983" t="str">
            <v>Willette Hurst</v>
          </cell>
          <cell r="C983">
            <v>1590</v>
          </cell>
          <cell r="D983">
            <v>0.86209999999999998</v>
          </cell>
          <cell r="E983">
            <v>0.71319999999999995</v>
          </cell>
          <cell r="F983">
            <v>0.91830000000000001</v>
          </cell>
          <cell r="G983">
            <v>0.98350000000000004</v>
          </cell>
          <cell r="H983">
            <v>0.84650000000000003</v>
          </cell>
        </row>
        <row r="984">
          <cell r="B984" t="str">
            <v>Monique Jackson</v>
          </cell>
          <cell r="C984">
            <v>1585</v>
          </cell>
          <cell r="D984">
            <v>0.94310000000000005</v>
          </cell>
          <cell r="E984">
            <v>0.70150000000000001</v>
          </cell>
          <cell r="F984">
            <v>0.91749999999999998</v>
          </cell>
          <cell r="G984">
            <v>0.99209999999999998</v>
          </cell>
          <cell r="H984">
            <v>0.8679</v>
          </cell>
        </row>
        <row r="985">
          <cell r="B985" t="str">
            <v>Miles Orman</v>
          </cell>
          <cell r="C985">
            <v>1584</v>
          </cell>
          <cell r="D985">
            <v>0.93240000000000001</v>
          </cell>
          <cell r="E985">
            <v>0.70099999999999996</v>
          </cell>
          <cell r="F985">
            <v>0.88629999999999998</v>
          </cell>
          <cell r="G985">
            <v>0.99270000000000003</v>
          </cell>
          <cell r="H985">
            <v>0.85519999999999996</v>
          </cell>
        </row>
        <row r="986">
          <cell r="B986" t="str">
            <v>Amber Burkes</v>
          </cell>
          <cell r="C986">
            <v>1581</v>
          </cell>
          <cell r="D986">
            <v>0.92249999999999999</v>
          </cell>
          <cell r="E986">
            <v>0.71250000000000002</v>
          </cell>
          <cell r="F986">
            <v>0.90500000000000003</v>
          </cell>
          <cell r="G986">
            <v>0.99080000000000001</v>
          </cell>
          <cell r="H986">
            <v>0.86109999999999998</v>
          </cell>
        </row>
        <row r="987">
          <cell r="B987" t="str">
            <v>Antonia Patterson</v>
          </cell>
          <cell r="C987">
            <v>1579</v>
          </cell>
          <cell r="D987">
            <v>0.9123</v>
          </cell>
          <cell r="E987">
            <v>0.63639999999999997</v>
          </cell>
          <cell r="F987">
            <v>0.85819999999999996</v>
          </cell>
          <cell r="G987">
            <v>0.98960000000000004</v>
          </cell>
          <cell r="H987">
            <v>0.82099999999999995</v>
          </cell>
        </row>
        <row r="988">
          <cell r="B988" t="str">
            <v>Araceli Ajanel</v>
          </cell>
          <cell r="C988">
            <v>1571</v>
          </cell>
          <cell r="D988">
            <v>0.30470000000000003</v>
          </cell>
          <cell r="E988">
            <v>0.66469999999999996</v>
          </cell>
          <cell r="F988">
            <v>0.77349999999999997</v>
          </cell>
          <cell r="G988">
            <v>0.98980000000000001</v>
          </cell>
          <cell r="H988">
            <v>0.62180000000000002</v>
          </cell>
        </row>
        <row r="989">
          <cell r="B989" t="str">
            <v>Rachel Weaver</v>
          </cell>
          <cell r="C989">
            <v>1571</v>
          </cell>
          <cell r="D989">
            <v>0.9627</v>
          </cell>
          <cell r="E989">
            <v>0.70720000000000005</v>
          </cell>
          <cell r="F989">
            <v>0.93679999999999997</v>
          </cell>
          <cell r="G989">
            <v>0.997</v>
          </cell>
          <cell r="H989">
            <v>0.88170000000000004</v>
          </cell>
        </row>
        <row r="990">
          <cell r="B990" t="str">
            <v>Serena Forrester</v>
          </cell>
          <cell r="C990">
            <v>1566</v>
          </cell>
          <cell r="D990">
            <v>0.89910000000000001</v>
          </cell>
          <cell r="E990">
            <v>0.69830000000000003</v>
          </cell>
          <cell r="F990">
            <v>0.92930000000000001</v>
          </cell>
          <cell r="G990">
            <v>0.97970000000000002</v>
          </cell>
          <cell r="H990">
            <v>0.85589999999999999</v>
          </cell>
        </row>
        <row r="991">
          <cell r="B991" t="str">
            <v>Ashley Stevens</v>
          </cell>
          <cell r="C991">
            <v>1563</v>
          </cell>
          <cell r="D991">
            <v>0.92879999999999996</v>
          </cell>
          <cell r="E991">
            <v>0.70830000000000004</v>
          </cell>
          <cell r="F991">
            <v>0.89480000000000004</v>
          </cell>
          <cell r="G991">
            <v>0.99409999999999998</v>
          </cell>
          <cell r="H991">
            <v>0.85899999999999999</v>
          </cell>
        </row>
        <row r="992">
          <cell r="B992" t="str">
            <v>Iesha Thomas</v>
          </cell>
          <cell r="C992">
            <v>1559</v>
          </cell>
          <cell r="D992">
            <v>0.83979999999999999</v>
          </cell>
          <cell r="E992">
            <v>0.69340000000000002</v>
          </cell>
          <cell r="F992">
            <v>0.87739999999999996</v>
          </cell>
          <cell r="G992">
            <v>0.99460000000000004</v>
          </cell>
          <cell r="H992">
            <v>0.8226</v>
          </cell>
        </row>
        <row r="993">
          <cell r="B993" t="str">
            <v>Sandra Barron</v>
          </cell>
          <cell r="C993">
            <v>1559</v>
          </cell>
          <cell r="D993">
            <v>0.29599999999999999</v>
          </cell>
          <cell r="E993">
            <v>0.70860000000000001</v>
          </cell>
          <cell r="F993">
            <v>0.82720000000000005</v>
          </cell>
          <cell r="G993">
            <v>0.98040000000000005</v>
          </cell>
          <cell r="H993">
            <v>0.64759999999999995</v>
          </cell>
        </row>
        <row r="994">
          <cell r="B994" t="str">
            <v>Sandy Ruggentaler</v>
          </cell>
          <cell r="C994">
            <v>1554</v>
          </cell>
          <cell r="D994">
            <v>0.84760000000000002</v>
          </cell>
          <cell r="E994">
            <v>0.69069999999999998</v>
          </cell>
          <cell r="F994">
            <v>0.89349999999999996</v>
          </cell>
          <cell r="G994">
            <v>0.99419999999999997</v>
          </cell>
          <cell r="H994">
            <v>0.82899999999999996</v>
          </cell>
        </row>
        <row r="995">
          <cell r="B995" t="str">
            <v>Valerie Fernandez</v>
          </cell>
          <cell r="C995">
            <v>1550</v>
          </cell>
          <cell r="D995">
            <v>0.87239999999999995</v>
          </cell>
          <cell r="E995">
            <v>0.67649999999999999</v>
          </cell>
          <cell r="F995">
            <v>0.87619999999999998</v>
          </cell>
          <cell r="G995">
            <v>0.99080000000000001</v>
          </cell>
          <cell r="H995">
            <v>0.8266</v>
          </cell>
        </row>
        <row r="996">
          <cell r="B996" t="str">
            <v>Wendy Anderson</v>
          </cell>
          <cell r="C996">
            <v>1546</v>
          </cell>
          <cell r="D996">
            <v>0.87419999999999998</v>
          </cell>
          <cell r="E996">
            <v>0.66910000000000003</v>
          </cell>
          <cell r="F996">
            <v>0.9083</v>
          </cell>
          <cell r="G996">
            <v>0.98970000000000002</v>
          </cell>
          <cell r="H996">
            <v>0.83450000000000002</v>
          </cell>
        </row>
        <row r="997">
          <cell r="B997" t="str">
            <v>Desire Hampton</v>
          </cell>
          <cell r="C997">
            <v>1538</v>
          </cell>
          <cell r="D997">
            <v>0.85370000000000001</v>
          </cell>
          <cell r="E997">
            <v>0.64100000000000001</v>
          </cell>
          <cell r="F997">
            <v>0.74929999999999997</v>
          </cell>
          <cell r="G997">
            <v>0.99199999999999999</v>
          </cell>
          <cell r="H997">
            <v>0.77239999999999998</v>
          </cell>
        </row>
        <row r="998">
          <cell r="B998" t="str">
            <v>Tanesha Riley</v>
          </cell>
          <cell r="C998">
            <v>1537</v>
          </cell>
          <cell r="D998">
            <v>0.76329999999999998</v>
          </cell>
          <cell r="E998">
            <v>0.60599999999999998</v>
          </cell>
          <cell r="F998">
            <v>0.90410000000000001</v>
          </cell>
          <cell r="G998">
            <v>0.99150000000000005</v>
          </cell>
          <cell r="H998">
            <v>0.78120000000000001</v>
          </cell>
        </row>
        <row r="999">
          <cell r="B999" t="str">
            <v>Dustin Skliris</v>
          </cell>
          <cell r="C999">
            <v>1536</v>
          </cell>
          <cell r="D999">
            <v>0.78979999999999995</v>
          </cell>
          <cell r="E999">
            <v>0.67120000000000002</v>
          </cell>
          <cell r="F999">
            <v>0.86619999999999997</v>
          </cell>
          <cell r="G999">
            <v>0.9919</v>
          </cell>
          <cell r="H999">
            <v>0.7974</v>
          </cell>
        </row>
        <row r="1000">
          <cell r="B1000" t="str">
            <v>Joy Magoon</v>
          </cell>
          <cell r="C1000">
            <v>1535</v>
          </cell>
          <cell r="D1000">
            <v>0.95650000000000002</v>
          </cell>
          <cell r="E1000">
            <v>0.67720000000000002</v>
          </cell>
          <cell r="F1000">
            <v>0.91520000000000001</v>
          </cell>
          <cell r="G1000">
            <v>0.99570000000000003</v>
          </cell>
          <cell r="H1000">
            <v>0.86419999999999997</v>
          </cell>
        </row>
        <row r="1001">
          <cell r="B1001" t="str">
            <v>Amanda Harris</v>
          </cell>
          <cell r="C1001">
            <v>1533</v>
          </cell>
          <cell r="D1001">
            <v>0.92659999999999998</v>
          </cell>
          <cell r="E1001">
            <v>0.67830000000000001</v>
          </cell>
          <cell r="F1001">
            <v>0.8962</v>
          </cell>
          <cell r="G1001">
            <v>0.99329999999999996</v>
          </cell>
          <cell r="H1001">
            <v>0.84970000000000001</v>
          </cell>
        </row>
        <row r="1002">
          <cell r="B1002" t="str">
            <v>Christina Dulin</v>
          </cell>
          <cell r="C1002">
            <v>1524</v>
          </cell>
          <cell r="D1002">
            <v>0.88600000000000001</v>
          </cell>
          <cell r="E1002">
            <v>0.73070000000000002</v>
          </cell>
          <cell r="F1002">
            <v>0.9496</v>
          </cell>
          <cell r="G1002">
            <v>0.99509999999999998</v>
          </cell>
          <cell r="H1002">
            <v>0.86939999999999995</v>
          </cell>
        </row>
        <row r="1003">
          <cell r="B1003" t="str">
            <v>Aaron Owens</v>
          </cell>
          <cell r="C1003">
            <v>1523</v>
          </cell>
          <cell r="D1003">
            <v>0.79290000000000005</v>
          </cell>
          <cell r="E1003">
            <v>0.65920000000000001</v>
          </cell>
          <cell r="F1003">
            <v>0.86570000000000003</v>
          </cell>
          <cell r="G1003">
            <v>0.98950000000000005</v>
          </cell>
          <cell r="H1003">
            <v>0.79430000000000001</v>
          </cell>
        </row>
        <row r="1004">
          <cell r="B1004" t="str">
            <v>Sarah Washington</v>
          </cell>
          <cell r="C1004">
            <v>1522</v>
          </cell>
          <cell r="D1004">
            <v>0.95130000000000003</v>
          </cell>
          <cell r="E1004">
            <v>0.70620000000000005</v>
          </cell>
          <cell r="F1004">
            <v>0.88339999999999996</v>
          </cell>
          <cell r="G1004">
            <v>0.99429999999999996</v>
          </cell>
          <cell r="H1004">
            <v>0.86170000000000002</v>
          </cell>
        </row>
        <row r="1005">
          <cell r="B1005" t="str">
            <v>Jennifer Owens</v>
          </cell>
          <cell r="C1005">
            <v>1518</v>
          </cell>
          <cell r="D1005">
            <v>0.86780000000000002</v>
          </cell>
          <cell r="E1005">
            <v>0.68179999999999996</v>
          </cell>
          <cell r="F1005">
            <v>0.78290000000000004</v>
          </cell>
          <cell r="G1005">
            <v>0.98970000000000002</v>
          </cell>
          <cell r="H1005">
            <v>0.79869999999999997</v>
          </cell>
        </row>
        <row r="1006">
          <cell r="B1006" t="str">
            <v>Faith Litton</v>
          </cell>
          <cell r="C1006">
            <v>1516</v>
          </cell>
          <cell r="D1006">
            <v>0.9123</v>
          </cell>
          <cell r="E1006">
            <v>0.70140000000000002</v>
          </cell>
          <cell r="F1006">
            <v>0.93300000000000005</v>
          </cell>
          <cell r="G1006">
            <v>0.98950000000000005</v>
          </cell>
          <cell r="H1006">
            <v>0.86299999999999999</v>
          </cell>
        </row>
        <row r="1007">
          <cell r="B1007" t="str">
            <v>Delia Avsar</v>
          </cell>
          <cell r="C1007">
            <v>1516</v>
          </cell>
          <cell r="D1007">
            <v>0.70960000000000001</v>
          </cell>
          <cell r="E1007">
            <v>0.62660000000000005</v>
          </cell>
          <cell r="F1007">
            <v>0.71730000000000005</v>
          </cell>
          <cell r="G1007">
            <v>0.96709999999999996</v>
          </cell>
          <cell r="H1007">
            <v>0.71279999999999999</v>
          </cell>
        </row>
        <row r="1008">
          <cell r="B1008" t="str">
            <v>Aquilla Morris-Sheppard</v>
          </cell>
          <cell r="C1008">
            <v>1514</v>
          </cell>
          <cell r="D1008">
            <v>0.7419</v>
          </cell>
          <cell r="E1008">
            <v>0.64600000000000002</v>
          </cell>
          <cell r="F1008">
            <v>0.88939999999999997</v>
          </cell>
          <cell r="G1008">
            <v>0.99299999999999999</v>
          </cell>
          <cell r="H1008">
            <v>0.78249999999999997</v>
          </cell>
        </row>
        <row r="1009">
          <cell r="B1009" t="str">
            <v>Marcus Rogers</v>
          </cell>
          <cell r="C1009">
            <v>1512</v>
          </cell>
          <cell r="D1009">
            <v>0.84370000000000001</v>
          </cell>
          <cell r="E1009">
            <v>0.78600000000000003</v>
          </cell>
          <cell r="F1009">
            <v>0.8649</v>
          </cell>
          <cell r="G1009">
            <v>0.99180000000000001</v>
          </cell>
          <cell r="H1009">
            <v>0.84760000000000002</v>
          </cell>
        </row>
        <row r="1010">
          <cell r="B1010" t="str">
            <v>Kanina Stinson-Jackson</v>
          </cell>
          <cell r="C1010">
            <v>1506</v>
          </cell>
          <cell r="D1010">
            <v>0.94630000000000003</v>
          </cell>
          <cell r="E1010">
            <v>0.7</v>
          </cell>
          <cell r="F1010">
            <v>0.90239999999999998</v>
          </cell>
          <cell r="G1010">
            <v>0.9829</v>
          </cell>
          <cell r="H1010">
            <v>0.8629</v>
          </cell>
        </row>
        <row r="1011">
          <cell r="B1011" t="str">
            <v>Nathan Williams</v>
          </cell>
          <cell r="C1011">
            <v>1506</v>
          </cell>
          <cell r="D1011">
            <v>0.95520000000000005</v>
          </cell>
          <cell r="E1011">
            <v>0.70889999999999997</v>
          </cell>
          <cell r="F1011">
            <v>0.93579999999999997</v>
          </cell>
          <cell r="G1011">
            <v>0.997</v>
          </cell>
          <cell r="H1011">
            <v>0.87970000000000004</v>
          </cell>
        </row>
        <row r="1012">
          <cell r="B1012" t="str">
            <v>Qwaknesa Wraggs</v>
          </cell>
          <cell r="C1012">
            <v>1503</v>
          </cell>
          <cell r="D1012">
            <v>0.92300000000000004</v>
          </cell>
          <cell r="E1012">
            <v>0.70789999999999997</v>
          </cell>
          <cell r="F1012">
            <v>0.86899999999999999</v>
          </cell>
          <cell r="G1012">
            <v>0.99280000000000002</v>
          </cell>
          <cell r="H1012">
            <v>0.84919999999999995</v>
          </cell>
        </row>
        <row r="1013">
          <cell r="B1013" t="str">
            <v>Theresa Henderson</v>
          </cell>
          <cell r="C1013">
            <v>1500</v>
          </cell>
          <cell r="D1013">
            <v>0.88080000000000003</v>
          </cell>
          <cell r="E1013">
            <v>0.67859999999999998</v>
          </cell>
          <cell r="F1013">
            <v>0.92669999999999997</v>
          </cell>
          <cell r="G1013">
            <v>0.99060000000000004</v>
          </cell>
          <cell r="H1013">
            <v>0.84489999999999998</v>
          </cell>
        </row>
        <row r="1014">
          <cell r="B1014" t="str">
            <v>Katina Lee</v>
          </cell>
          <cell r="C1014">
            <v>1495</v>
          </cell>
          <cell r="D1014">
            <v>0.92279999999999995</v>
          </cell>
          <cell r="E1014">
            <v>0.7399</v>
          </cell>
          <cell r="F1014">
            <v>0.88139999999999996</v>
          </cell>
          <cell r="G1014">
            <v>0.99350000000000005</v>
          </cell>
          <cell r="H1014">
            <v>0.86260000000000003</v>
          </cell>
        </row>
        <row r="1015">
          <cell r="B1015" t="str">
            <v>Jamiles Machuca</v>
          </cell>
          <cell r="C1015">
            <v>1484</v>
          </cell>
          <cell r="D1015">
            <v>0.9022</v>
          </cell>
          <cell r="E1015">
            <v>0.6734</v>
          </cell>
          <cell r="F1015">
            <v>0.90859999999999996</v>
          </cell>
          <cell r="G1015">
            <v>0.99209999999999998</v>
          </cell>
          <cell r="H1015">
            <v>0.84450000000000003</v>
          </cell>
        </row>
        <row r="1016">
          <cell r="B1016" t="str">
            <v>Sandra Erickson</v>
          </cell>
          <cell r="C1016">
            <v>1483</v>
          </cell>
          <cell r="D1016">
            <v>0.92810000000000004</v>
          </cell>
          <cell r="E1016">
            <v>0.69740000000000002</v>
          </cell>
          <cell r="F1016">
            <v>0.87949999999999995</v>
          </cell>
          <cell r="G1016">
            <v>0.99439999999999995</v>
          </cell>
          <cell r="H1016">
            <v>0.85089999999999999</v>
          </cell>
        </row>
        <row r="1017">
          <cell r="B1017" t="str">
            <v>Serena Hollander</v>
          </cell>
          <cell r="C1017">
            <v>1481</v>
          </cell>
          <cell r="D1017">
            <v>0.90620000000000001</v>
          </cell>
          <cell r="E1017">
            <v>0.64939999999999998</v>
          </cell>
          <cell r="F1017">
            <v>0.80720000000000003</v>
          </cell>
          <cell r="G1017">
            <v>0.99250000000000005</v>
          </cell>
          <cell r="H1017">
            <v>0.80810000000000004</v>
          </cell>
        </row>
        <row r="1018">
          <cell r="B1018" t="str">
            <v>Glenda Gonzalez</v>
          </cell>
          <cell r="C1018">
            <v>1480</v>
          </cell>
          <cell r="D1018">
            <v>0.84699999999999998</v>
          </cell>
          <cell r="E1018">
            <v>0.72889999999999999</v>
          </cell>
          <cell r="F1018">
            <v>0.89100000000000001</v>
          </cell>
          <cell r="G1018">
            <v>0.99309999999999998</v>
          </cell>
          <cell r="H1018">
            <v>0.83940000000000003</v>
          </cell>
        </row>
        <row r="1019">
          <cell r="B1019" t="str">
            <v>Justin Pettaway</v>
          </cell>
          <cell r="C1019">
            <v>1479</v>
          </cell>
          <cell r="D1019">
            <v>0.92130000000000001</v>
          </cell>
          <cell r="E1019">
            <v>0.68730000000000002</v>
          </cell>
          <cell r="F1019">
            <v>0.92269999999999996</v>
          </cell>
          <cell r="G1019">
            <v>0.98070000000000002</v>
          </cell>
          <cell r="H1019">
            <v>0.85750000000000004</v>
          </cell>
        </row>
        <row r="1020">
          <cell r="B1020" t="str">
            <v>Brenda Perez</v>
          </cell>
          <cell r="C1020">
            <v>1468</v>
          </cell>
          <cell r="D1020">
            <v>0.79490000000000005</v>
          </cell>
          <cell r="E1020">
            <v>0.70099999999999996</v>
          </cell>
          <cell r="F1020">
            <v>0.90769999999999995</v>
          </cell>
          <cell r="G1020">
            <v>0.99509999999999998</v>
          </cell>
          <cell r="H1020">
            <v>0.8206</v>
          </cell>
        </row>
        <row r="1021">
          <cell r="B1021" t="str">
            <v>Jessica Avalos</v>
          </cell>
          <cell r="C1021">
            <v>1462</v>
          </cell>
          <cell r="D1021">
            <v>0.95830000000000004</v>
          </cell>
          <cell r="E1021">
            <v>0.71860000000000002</v>
          </cell>
          <cell r="F1021">
            <v>0.96560000000000001</v>
          </cell>
          <cell r="G1021">
            <v>0.99099999999999999</v>
          </cell>
          <cell r="H1021">
            <v>0.89180000000000004</v>
          </cell>
        </row>
        <row r="1022">
          <cell r="B1022" t="str">
            <v>RaNeisha Brooker</v>
          </cell>
          <cell r="C1022">
            <v>1457</v>
          </cell>
          <cell r="D1022">
            <v>0.91520000000000001</v>
          </cell>
          <cell r="E1022">
            <v>0.68669999999999998</v>
          </cell>
          <cell r="F1022">
            <v>0.96099999999999997</v>
          </cell>
          <cell r="G1022">
            <v>0.98540000000000005</v>
          </cell>
          <cell r="H1022">
            <v>0.86739999999999995</v>
          </cell>
        </row>
        <row r="1023">
          <cell r="B1023" t="str">
            <v>Naya Harris</v>
          </cell>
          <cell r="C1023">
            <v>1456</v>
          </cell>
          <cell r="D1023">
            <v>0.84319999999999995</v>
          </cell>
          <cell r="E1023">
            <v>0.65780000000000005</v>
          </cell>
          <cell r="F1023">
            <v>0.87329999999999997</v>
          </cell>
          <cell r="G1023">
            <v>0.99629999999999996</v>
          </cell>
          <cell r="H1023">
            <v>0.81189999999999996</v>
          </cell>
        </row>
        <row r="1024">
          <cell r="B1024" t="str">
            <v>Vannessa Marquez</v>
          </cell>
          <cell r="C1024">
            <v>1448</v>
          </cell>
          <cell r="D1024">
            <v>0.28270000000000001</v>
          </cell>
          <cell r="E1024">
            <v>0.67569999999999997</v>
          </cell>
          <cell r="F1024">
            <v>0.83109999999999995</v>
          </cell>
          <cell r="G1024">
            <v>0.97560000000000002</v>
          </cell>
          <cell r="H1024">
            <v>0.63439999999999996</v>
          </cell>
        </row>
        <row r="1025">
          <cell r="B1025" t="str">
            <v>Charmiqua Richards</v>
          </cell>
          <cell r="C1025">
            <v>1433</v>
          </cell>
          <cell r="D1025">
            <v>0.83430000000000004</v>
          </cell>
          <cell r="E1025">
            <v>0.64290000000000003</v>
          </cell>
          <cell r="F1025">
            <v>0.80200000000000005</v>
          </cell>
          <cell r="G1025">
            <v>0.9869</v>
          </cell>
          <cell r="H1025">
            <v>0.78249999999999997</v>
          </cell>
        </row>
        <row r="1026">
          <cell r="B1026" t="str">
            <v>Karen Workman</v>
          </cell>
          <cell r="C1026">
            <v>1433</v>
          </cell>
          <cell r="D1026">
            <v>0.91620000000000001</v>
          </cell>
          <cell r="E1026">
            <v>0.63360000000000005</v>
          </cell>
          <cell r="F1026">
            <v>0.92730000000000001</v>
          </cell>
          <cell r="G1026">
            <v>0.99890000000000001</v>
          </cell>
          <cell r="H1026">
            <v>0.84299999999999997</v>
          </cell>
        </row>
        <row r="1027">
          <cell r="B1027" t="str">
            <v>Brianna Bush</v>
          </cell>
          <cell r="C1027">
            <v>1430</v>
          </cell>
          <cell r="D1027">
            <v>0.82440000000000002</v>
          </cell>
          <cell r="E1027">
            <v>0.67679999999999996</v>
          </cell>
          <cell r="F1027">
            <v>0.85709999999999997</v>
          </cell>
          <cell r="G1027">
            <v>0.99350000000000005</v>
          </cell>
          <cell r="H1027">
            <v>0.80679999999999996</v>
          </cell>
        </row>
        <row r="1028">
          <cell r="B1028" t="str">
            <v>Tamika Blanding</v>
          </cell>
          <cell r="C1028">
            <v>1429</v>
          </cell>
          <cell r="D1028">
            <v>0.83540000000000003</v>
          </cell>
          <cell r="E1028">
            <v>0.69279999999999997</v>
          </cell>
          <cell r="F1028">
            <v>0.93149999999999999</v>
          </cell>
          <cell r="G1028">
            <v>0.99309999999999998</v>
          </cell>
          <cell r="H1028">
            <v>0.83720000000000006</v>
          </cell>
        </row>
        <row r="1029">
          <cell r="B1029" t="str">
            <v>Kim Davis</v>
          </cell>
          <cell r="C1029">
            <v>1427</v>
          </cell>
          <cell r="D1029">
            <v>0.94969999999999999</v>
          </cell>
          <cell r="E1029">
            <v>0.70230000000000004</v>
          </cell>
          <cell r="F1029">
            <v>0.92369999999999997</v>
          </cell>
          <cell r="G1029">
            <v>0.99319999999999997</v>
          </cell>
          <cell r="H1029">
            <v>0.872</v>
          </cell>
        </row>
        <row r="1030">
          <cell r="B1030" t="str">
            <v>Joanna Escobar</v>
          </cell>
          <cell r="C1030">
            <v>1426</v>
          </cell>
          <cell r="D1030">
            <v>0.45300000000000001</v>
          </cell>
          <cell r="E1030">
            <v>0.67300000000000004</v>
          </cell>
          <cell r="F1030">
            <v>0.8589</v>
          </cell>
          <cell r="G1030">
            <v>0.9819</v>
          </cell>
          <cell r="H1030">
            <v>0.69369999999999998</v>
          </cell>
        </row>
        <row r="1031">
          <cell r="B1031" t="str">
            <v>Michelle Weeks</v>
          </cell>
          <cell r="C1031">
            <v>1424</v>
          </cell>
          <cell r="D1031">
            <v>0.95089999999999997</v>
          </cell>
          <cell r="E1031">
            <v>0.6804</v>
          </cell>
          <cell r="F1031">
            <v>0.9123</v>
          </cell>
          <cell r="G1031">
            <v>0.99539999999999995</v>
          </cell>
          <cell r="H1031">
            <v>0.86260000000000003</v>
          </cell>
        </row>
        <row r="1032">
          <cell r="B1032" t="str">
            <v>Mary Fauth</v>
          </cell>
          <cell r="C1032">
            <v>1420</v>
          </cell>
          <cell r="D1032">
            <v>0.9224</v>
          </cell>
          <cell r="E1032">
            <v>0.69469999999999998</v>
          </cell>
          <cell r="F1032">
            <v>0.90439999999999998</v>
          </cell>
          <cell r="G1032">
            <v>0.98180000000000001</v>
          </cell>
          <cell r="H1032">
            <v>0.85460000000000003</v>
          </cell>
        </row>
        <row r="1033">
          <cell r="B1033" t="str">
            <v>Daralynn Dise</v>
          </cell>
          <cell r="C1033">
            <v>1418</v>
          </cell>
          <cell r="D1033">
            <v>0.87039999999999995</v>
          </cell>
          <cell r="E1033">
            <v>0.73809999999999998</v>
          </cell>
          <cell r="F1033">
            <v>0.92130000000000001</v>
          </cell>
          <cell r="G1033">
            <v>0.98229999999999995</v>
          </cell>
          <cell r="H1033">
            <v>0.85719999999999996</v>
          </cell>
        </row>
        <row r="1034">
          <cell r="B1034" t="str">
            <v>Keara Gibson</v>
          </cell>
          <cell r="C1034">
            <v>1412</v>
          </cell>
          <cell r="D1034">
            <v>0.91849999999999998</v>
          </cell>
          <cell r="E1034">
            <v>0.65800000000000003</v>
          </cell>
          <cell r="F1034">
            <v>0.90669999999999995</v>
          </cell>
          <cell r="G1034">
            <v>0.997</v>
          </cell>
          <cell r="H1034">
            <v>0.84460000000000002</v>
          </cell>
        </row>
        <row r="1035">
          <cell r="B1035" t="str">
            <v>Sandra Iniguez</v>
          </cell>
          <cell r="C1035">
            <v>1411</v>
          </cell>
          <cell r="D1035">
            <v>0.50309999999999999</v>
          </cell>
          <cell r="E1035">
            <v>0.54849999999999999</v>
          </cell>
          <cell r="F1035">
            <v>0.76870000000000005</v>
          </cell>
          <cell r="G1035">
            <v>0.99570000000000003</v>
          </cell>
          <cell r="H1035">
            <v>0.64559999999999995</v>
          </cell>
        </row>
        <row r="1036">
          <cell r="B1036" t="str">
            <v>Celina Hernandez</v>
          </cell>
          <cell r="C1036">
            <v>1405</v>
          </cell>
          <cell r="D1036">
            <v>0.32819999999999999</v>
          </cell>
          <cell r="E1036">
            <v>0.68689999999999996</v>
          </cell>
          <cell r="F1036">
            <v>0.71519999999999995</v>
          </cell>
          <cell r="G1036">
            <v>0.98240000000000005</v>
          </cell>
          <cell r="H1036">
            <v>0.61729999999999996</v>
          </cell>
        </row>
        <row r="1037">
          <cell r="B1037" t="str">
            <v>Lara Flachmeier</v>
          </cell>
          <cell r="C1037">
            <v>1396</v>
          </cell>
          <cell r="D1037">
            <v>0.9012</v>
          </cell>
          <cell r="E1037">
            <v>0.69650000000000001</v>
          </cell>
          <cell r="F1037">
            <v>0.88019999999999998</v>
          </cell>
          <cell r="G1037">
            <v>0.99029999999999996</v>
          </cell>
          <cell r="H1037">
            <v>0.84240000000000004</v>
          </cell>
        </row>
        <row r="1038">
          <cell r="B1038" t="str">
            <v>Violeta Ballesteros</v>
          </cell>
          <cell r="C1038">
            <v>1393</v>
          </cell>
          <cell r="D1038">
            <v>0.81269999999999998</v>
          </cell>
          <cell r="E1038">
            <v>0.65110000000000001</v>
          </cell>
          <cell r="F1038">
            <v>0.87139999999999995</v>
          </cell>
          <cell r="G1038">
            <v>0.99229999999999996</v>
          </cell>
          <cell r="H1038">
            <v>0.79979999999999996</v>
          </cell>
        </row>
        <row r="1039">
          <cell r="B1039" t="str">
            <v>Tamarah Gonzalez</v>
          </cell>
          <cell r="C1039">
            <v>1390</v>
          </cell>
          <cell r="D1039">
            <v>0.92730000000000001</v>
          </cell>
          <cell r="E1039">
            <v>0.77780000000000005</v>
          </cell>
          <cell r="F1039">
            <v>0.93030000000000002</v>
          </cell>
          <cell r="G1039">
            <v>0.99590000000000001</v>
          </cell>
          <cell r="H1039">
            <v>0.89019999999999999</v>
          </cell>
        </row>
        <row r="1040">
          <cell r="B1040" t="str">
            <v>William Garcia</v>
          </cell>
          <cell r="C1040">
            <v>1388</v>
          </cell>
          <cell r="D1040">
            <v>0.89410000000000001</v>
          </cell>
          <cell r="E1040">
            <v>0.72740000000000005</v>
          </cell>
          <cell r="F1040">
            <v>0.879</v>
          </cell>
          <cell r="G1040">
            <v>0.99119999999999997</v>
          </cell>
          <cell r="H1040">
            <v>0.84930000000000005</v>
          </cell>
        </row>
        <row r="1041">
          <cell r="B1041" t="str">
            <v>Kimberly Dominick</v>
          </cell>
          <cell r="C1041">
            <v>1387</v>
          </cell>
          <cell r="D1041">
            <v>0.85760000000000003</v>
          </cell>
          <cell r="E1041">
            <v>0.71289999999999998</v>
          </cell>
          <cell r="F1041">
            <v>0.91790000000000005</v>
          </cell>
          <cell r="G1041">
            <v>0.98240000000000005</v>
          </cell>
          <cell r="H1041">
            <v>0.84470000000000001</v>
          </cell>
        </row>
        <row r="1042">
          <cell r="B1042" t="str">
            <v>Michelle Richards</v>
          </cell>
          <cell r="C1042">
            <v>1385</v>
          </cell>
          <cell r="D1042">
            <v>0.91259999999999997</v>
          </cell>
          <cell r="E1042">
            <v>0.69159999999999999</v>
          </cell>
          <cell r="F1042">
            <v>0.89759999999999995</v>
          </cell>
          <cell r="G1042">
            <v>0.99390000000000001</v>
          </cell>
          <cell r="H1042">
            <v>0.84989999999999999</v>
          </cell>
        </row>
        <row r="1043">
          <cell r="B1043" t="str">
            <v>Susana Moreno</v>
          </cell>
          <cell r="C1043">
            <v>1385</v>
          </cell>
          <cell r="D1043">
            <v>0.87019999999999997</v>
          </cell>
          <cell r="E1043">
            <v>0.71809999999999996</v>
          </cell>
          <cell r="F1043">
            <v>0.92130000000000001</v>
          </cell>
          <cell r="G1043">
            <v>0.99319999999999997</v>
          </cell>
          <cell r="H1043">
            <v>0.85219999999999996</v>
          </cell>
        </row>
        <row r="1044">
          <cell r="B1044" t="str">
            <v>Michele Brown</v>
          </cell>
          <cell r="C1044">
            <v>1383</v>
          </cell>
          <cell r="D1044">
            <v>0.92769999999999997</v>
          </cell>
          <cell r="E1044">
            <v>0.72919999999999996</v>
          </cell>
          <cell r="F1044">
            <v>0.92310000000000003</v>
          </cell>
          <cell r="G1044">
            <v>0.99250000000000005</v>
          </cell>
          <cell r="H1044">
            <v>0.87319999999999998</v>
          </cell>
        </row>
        <row r="1045">
          <cell r="B1045" t="str">
            <v>Priscilla Lopez</v>
          </cell>
          <cell r="C1045">
            <v>1372</v>
          </cell>
          <cell r="D1045">
            <v>0.82</v>
          </cell>
          <cell r="E1045">
            <v>0.70799999999999996</v>
          </cell>
          <cell r="F1045">
            <v>0.86309999999999998</v>
          </cell>
          <cell r="G1045">
            <v>0.99160000000000004</v>
          </cell>
          <cell r="H1045">
            <v>0.8165</v>
          </cell>
        </row>
        <row r="1046">
          <cell r="B1046" t="str">
            <v>Ruth Rosales</v>
          </cell>
          <cell r="C1046">
            <v>1371</v>
          </cell>
          <cell r="D1046">
            <v>0.7137</v>
          </cell>
          <cell r="E1046">
            <v>0.58840000000000003</v>
          </cell>
          <cell r="F1046">
            <v>0.79520000000000002</v>
          </cell>
          <cell r="G1046">
            <v>0.98929999999999996</v>
          </cell>
          <cell r="H1046">
            <v>0.72809999999999997</v>
          </cell>
        </row>
        <row r="1047">
          <cell r="B1047" t="str">
            <v>Lamarte Lane</v>
          </cell>
          <cell r="C1047">
            <v>1367</v>
          </cell>
          <cell r="D1047">
            <v>0.9375</v>
          </cell>
          <cell r="E1047">
            <v>0.71989999999999998</v>
          </cell>
          <cell r="F1047">
            <v>0.91900000000000004</v>
          </cell>
          <cell r="G1047">
            <v>0.99070000000000003</v>
          </cell>
          <cell r="H1047">
            <v>0.872</v>
          </cell>
        </row>
        <row r="1048">
          <cell r="B1048" t="str">
            <v>Lindsey Robinson</v>
          </cell>
          <cell r="C1048">
            <v>1362</v>
          </cell>
          <cell r="D1048">
            <v>0.82979999999999998</v>
          </cell>
          <cell r="E1048">
            <v>0.63570000000000004</v>
          </cell>
          <cell r="F1048">
            <v>0.73660000000000003</v>
          </cell>
          <cell r="G1048">
            <v>0.98280000000000001</v>
          </cell>
          <cell r="H1048">
            <v>0.75890000000000002</v>
          </cell>
        </row>
        <row r="1049">
          <cell r="B1049" t="str">
            <v>Kijhana Barnes</v>
          </cell>
          <cell r="C1049">
            <v>1351</v>
          </cell>
          <cell r="D1049">
            <v>0.80869999999999997</v>
          </cell>
          <cell r="E1049">
            <v>0.63500000000000001</v>
          </cell>
          <cell r="F1049">
            <v>0.82140000000000002</v>
          </cell>
          <cell r="G1049">
            <v>0.98319999999999996</v>
          </cell>
          <cell r="H1049">
            <v>0.77780000000000005</v>
          </cell>
        </row>
        <row r="1050">
          <cell r="B1050" t="str">
            <v>Deena Sprinkles</v>
          </cell>
          <cell r="C1050">
            <v>1350</v>
          </cell>
          <cell r="D1050">
            <v>0.94720000000000004</v>
          </cell>
          <cell r="E1050">
            <v>0.65280000000000005</v>
          </cell>
          <cell r="F1050">
            <v>0.89900000000000002</v>
          </cell>
          <cell r="G1050">
            <v>0.99209999999999998</v>
          </cell>
          <cell r="H1050">
            <v>0.84889999999999999</v>
          </cell>
        </row>
        <row r="1051">
          <cell r="B1051" t="str">
            <v>Nastassia Riddell</v>
          </cell>
          <cell r="C1051">
            <v>1348</v>
          </cell>
          <cell r="D1051">
            <v>0.92030000000000001</v>
          </cell>
          <cell r="E1051">
            <v>0.69210000000000005</v>
          </cell>
          <cell r="F1051">
            <v>0.90229999999999999</v>
          </cell>
          <cell r="G1051">
            <v>0.99060000000000004</v>
          </cell>
          <cell r="H1051">
            <v>0.85350000000000004</v>
          </cell>
        </row>
        <row r="1052">
          <cell r="B1052" t="str">
            <v>Jaidyn Ramirez</v>
          </cell>
          <cell r="C1052">
            <v>1339</v>
          </cell>
          <cell r="D1052">
            <v>0.8881</v>
          </cell>
          <cell r="E1052">
            <v>0.67420000000000002</v>
          </cell>
          <cell r="F1052">
            <v>0.9133</v>
          </cell>
          <cell r="G1052">
            <v>0.99170000000000003</v>
          </cell>
          <cell r="H1052">
            <v>0.84189999999999998</v>
          </cell>
        </row>
        <row r="1053">
          <cell r="B1053" t="str">
            <v>Michael Johnson</v>
          </cell>
          <cell r="C1053">
            <v>1332</v>
          </cell>
          <cell r="D1053">
            <v>0.74019999999999997</v>
          </cell>
          <cell r="E1053">
            <v>0.6835</v>
          </cell>
          <cell r="F1053">
            <v>0.84970000000000001</v>
          </cell>
          <cell r="G1053">
            <v>0.99580000000000002</v>
          </cell>
          <cell r="H1053">
            <v>0.78159999999999996</v>
          </cell>
        </row>
        <row r="1054">
          <cell r="B1054" t="str">
            <v>April Gutierrez</v>
          </cell>
          <cell r="C1054">
            <v>1328</v>
          </cell>
          <cell r="D1054">
            <v>0.94879999999999998</v>
          </cell>
          <cell r="E1054">
            <v>0.72250000000000003</v>
          </cell>
          <cell r="F1054">
            <v>0.97040000000000004</v>
          </cell>
          <cell r="G1054">
            <v>0.9929</v>
          </cell>
          <cell r="H1054">
            <v>0.89180000000000004</v>
          </cell>
        </row>
        <row r="1055">
          <cell r="B1055" t="str">
            <v>Chakira Mims</v>
          </cell>
          <cell r="C1055">
            <v>1321</v>
          </cell>
          <cell r="D1055">
            <v>0.85580000000000001</v>
          </cell>
          <cell r="E1055">
            <v>0.71779999999999999</v>
          </cell>
          <cell r="F1055">
            <v>0.91969999999999996</v>
          </cell>
          <cell r="G1055">
            <v>0.99450000000000005</v>
          </cell>
          <cell r="H1055">
            <v>0.84750000000000003</v>
          </cell>
        </row>
        <row r="1056">
          <cell r="B1056" t="str">
            <v>Victoria Holland</v>
          </cell>
          <cell r="C1056">
            <v>1317</v>
          </cell>
          <cell r="D1056">
            <v>0.81220000000000003</v>
          </cell>
          <cell r="E1056">
            <v>0.6764</v>
          </cell>
          <cell r="F1056">
            <v>0.89370000000000005</v>
          </cell>
          <cell r="G1056">
            <v>0.98829999999999996</v>
          </cell>
          <cell r="H1056">
            <v>0.8135</v>
          </cell>
        </row>
        <row r="1057">
          <cell r="B1057" t="str">
            <v>Kyesha Lee</v>
          </cell>
          <cell r="C1057">
            <v>1306</v>
          </cell>
          <cell r="D1057">
            <v>0.86309999999999998</v>
          </cell>
          <cell r="E1057">
            <v>0.64039999999999997</v>
          </cell>
          <cell r="F1057">
            <v>0.75519999999999998</v>
          </cell>
          <cell r="G1057">
            <v>0.99270000000000003</v>
          </cell>
          <cell r="H1057">
            <v>0.77680000000000005</v>
          </cell>
        </row>
        <row r="1058">
          <cell r="B1058" t="str">
            <v>Emily Gardner</v>
          </cell>
          <cell r="C1058">
            <v>1306</v>
          </cell>
          <cell r="D1058">
            <v>0.81540000000000001</v>
          </cell>
          <cell r="E1058">
            <v>0.6865</v>
          </cell>
          <cell r="F1058">
            <v>0.83589999999999998</v>
          </cell>
          <cell r="G1058">
            <v>0.98799999999999999</v>
          </cell>
          <cell r="H1058">
            <v>0.80010000000000003</v>
          </cell>
        </row>
        <row r="1059">
          <cell r="B1059" t="str">
            <v>Matt Buzzelli</v>
          </cell>
          <cell r="C1059">
            <v>1300</v>
          </cell>
          <cell r="D1059">
            <v>0.84750000000000003</v>
          </cell>
          <cell r="E1059">
            <v>0.68259999999999998</v>
          </cell>
          <cell r="F1059">
            <v>0.92730000000000001</v>
          </cell>
          <cell r="G1059">
            <v>0.99590000000000001</v>
          </cell>
          <cell r="H1059">
            <v>0.83679999999999999</v>
          </cell>
        </row>
        <row r="1060">
          <cell r="B1060" t="str">
            <v>Britnei Ferguson</v>
          </cell>
          <cell r="C1060">
            <v>1298</v>
          </cell>
          <cell r="D1060">
            <v>0.90680000000000005</v>
          </cell>
          <cell r="E1060">
            <v>0.70230000000000004</v>
          </cell>
          <cell r="F1060">
            <v>0.93469999999999998</v>
          </cell>
          <cell r="G1060">
            <v>0.99470000000000003</v>
          </cell>
          <cell r="H1060">
            <v>0.86260000000000003</v>
          </cell>
        </row>
        <row r="1061">
          <cell r="B1061" t="str">
            <v>Lasadie Johnson</v>
          </cell>
          <cell r="C1061">
            <v>1290</v>
          </cell>
          <cell r="D1061">
            <v>0.71499999999999997</v>
          </cell>
          <cell r="E1061">
            <v>0.65280000000000005</v>
          </cell>
          <cell r="F1061">
            <v>0.87939999999999996</v>
          </cell>
          <cell r="G1061">
            <v>0.99050000000000005</v>
          </cell>
          <cell r="H1061">
            <v>0.7732</v>
          </cell>
        </row>
        <row r="1062">
          <cell r="B1062" t="str">
            <v>Chauquita Kirksey</v>
          </cell>
          <cell r="C1062">
            <v>1288</v>
          </cell>
          <cell r="D1062">
            <v>0.85940000000000005</v>
          </cell>
          <cell r="E1062">
            <v>0.70430000000000004</v>
          </cell>
          <cell r="F1062">
            <v>0.8881</v>
          </cell>
          <cell r="G1062">
            <v>0.99009999999999998</v>
          </cell>
          <cell r="H1062">
            <v>0.83460000000000001</v>
          </cell>
        </row>
        <row r="1063">
          <cell r="B1063" t="str">
            <v>Truman Bailey</v>
          </cell>
          <cell r="C1063">
            <v>1277</v>
          </cell>
          <cell r="D1063">
            <v>0.79590000000000005</v>
          </cell>
          <cell r="E1063">
            <v>0.66520000000000001</v>
          </cell>
          <cell r="F1063">
            <v>0.90269999999999995</v>
          </cell>
          <cell r="G1063">
            <v>0.99450000000000005</v>
          </cell>
          <cell r="H1063">
            <v>0.80859999999999999</v>
          </cell>
        </row>
        <row r="1064">
          <cell r="B1064" t="str">
            <v>Lisa De La Paz</v>
          </cell>
          <cell r="C1064">
            <v>1277</v>
          </cell>
          <cell r="D1064">
            <v>0.39700000000000002</v>
          </cell>
          <cell r="E1064">
            <v>0.70879999999999999</v>
          </cell>
          <cell r="F1064">
            <v>0.70989999999999998</v>
          </cell>
          <cell r="G1064">
            <v>0.97370000000000001</v>
          </cell>
          <cell r="H1064">
            <v>0.6421</v>
          </cell>
        </row>
        <row r="1065">
          <cell r="B1065" t="str">
            <v>Crystal Pedraza</v>
          </cell>
          <cell r="C1065">
            <v>1261</v>
          </cell>
          <cell r="D1065">
            <v>0.95230000000000004</v>
          </cell>
          <cell r="E1065">
            <v>0.75380000000000003</v>
          </cell>
          <cell r="F1065">
            <v>0.84889999999999999</v>
          </cell>
          <cell r="G1065">
            <v>0.99539999999999995</v>
          </cell>
          <cell r="H1065">
            <v>0.86609999999999998</v>
          </cell>
        </row>
        <row r="1066">
          <cell r="B1066" t="str">
            <v>Carmen Hernandez</v>
          </cell>
          <cell r="C1066">
            <v>1254</v>
          </cell>
          <cell r="D1066">
            <v>0.31419999999999998</v>
          </cell>
          <cell r="E1066">
            <v>0.53449999999999998</v>
          </cell>
          <cell r="F1066">
            <v>0.76659999999999995</v>
          </cell>
          <cell r="G1066">
            <v>0.98709999999999998</v>
          </cell>
          <cell r="H1066">
            <v>0.58330000000000004</v>
          </cell>
        </row>
        <row r="1067">
          <cell r="B1067" t="str">
            <v>Tyesha Barre</v>
          </cell>
          <cell r="C1067">
            <v>1241</v>
          </cell>
          <cell r="D1067">
            <v>0.84750000000000003</v>
          </cell>
          <cell r="E1067">
            <v>0.6502</v>
          </cell>
          <cell r="F1067">
            <v>0.85860000000000003</v>
          </cell>
          <cell r="G1067">
            <v>0.98860000000000003</v>
          </cell>
          <cell r="H1067">
            <v>0.80569999999999997</v>
          </cell>
        </row>
        <row r="1068">
          <cell r="B1068" t="str">
            <v>Sebastian Rodriguez</v>
          </cell>
          <cell r="C1068">
            <v>1240</v>
          </cell>
          <cell r="D1068">
            <v>0.29170000000000001</v>
          </cell>
          <cell r="E1068">
            <v>0.70020000000000004</v>
          </cell>
          <cell r="F1068">
            <v>0.73819999999999997</v>
          </cell>
          <cell r="G1068">
            <v>0.98550000000000004</v>
          </cell>
          <cell r="H1068">
            <v>0.61760000000000004</v>
          </cell>
        </row>
        <row r="1069">
          <cell r="B1069" t="str">
            <v>Daylon Brown</v>
          </cell>
          <cell r="C1069">
            <v>1235</v>
          </cell>
          <cell r="D1069">
            <v>0.88949999999999996</v>
          </cell>
          <cell r="E1069">
            <v>0.70479999999999998</v>
          </cell>
          <cell r="F1069">
            <v>0.85860000000000003</v>
          </cell>
          <cell r="G1069">
            <v>0.98819999999999997</v>
          </cell>
          <cell r="H1069">
            <v>0.8347</v>
          </cell>
        </row>
        <row r="1070">
          <cell r="B1070" t="str">
            <v>Dannikka Ramirez</v>
          </cell>
          <cell r="C1070">
            <v>1222</v>
          </cell>
          <cell r="D1070">
            <v>0.92369999999999997</v>
          </cell>
          <cell r="E1070">
            <v>0.71779999999999999</v>
          </cell>
          <cell r="F1070">
            <v>0.91749999999999998</v>
          </cell>
          <cell r="G1070">
            <v>0.99439999999999995</v>
          </cell>
          <cell r="H1070">
            <v>0.86719999999999997</v>
          </cell>
        </row>
        <row r="1071">
          <cell r="B1071" t="str">
            <v>Julie Zuniga</v>
          </cell>
          <cell r="C1071">
            <v>1219</v>
          </cell>
          <cell r="D1071">
            <v>0.34379999999999999</v>
          </cell>
          <cell r="E1071">
            <v>0.68930000000000002</v>
          </cell>
          <cell r="F1071">
            <v>0.8397</v>
          </cell>
          <cell r="G1071">
            <v>0.96819999999999995</v>
          </cell>
          <cell r="H1071">
            <v>0.65859999999999996</v>
          </cell>
        </row>
        <row r="1072">
          <cell r="B1072" t="str">
            <v>Maria Knoll</v>
          </cell>
          <cell r="C1072">
            <v>1218</v>
          </cell>
          <cell r="D1072">
            <v>0.81210000000000004</v>
          </cell>
          <cell r="E1072">
            <v>0.76449999999999996</v>
          </cell>
          <cell r="F1072">
            <v>0.90339999999999998</v>
          </cell>
          <cell r="G1072">
            <v>0.99539999999999995</v>
          </cell>
          <cell r="H1072">
            <v>0.84350000000000003</v>
          </cell>
        </row>
        <row r="1073">
          <cell r="B1073" t="str">
            <v>Kae McNamara</v>
          </cell>
          <cell r="C1073">
            <v>1216</v>
          </cell>
          <cell r="D1073">
            <v>0.91849999999999998</v>
          </cell>
          <cell r="E1073">
            <v>0.68500000000000005</v>
          </cell>
          <cell r="F1073">
            <v>0.9244</v>
          </cell>
          <cell r="G1073">
            <v>0.98660000000000003</v>
          </cell>
          <cell r="H1073">
            <v>0.85699999999999998</v>
          </cell>
        </row>
        <row r="1074">
          <cell r="B1074" t="str">
            <v>Shawan Johnson</v>
          </cell>
          <cell r="C1074">
            <v>1215</v>
          </cell>
          <cell r="D1074">
            <v>0.87360000000000004</v>
          </cell>
          <cell r="E1074">
            <v>0.67610000000000003</v>
          </cell>
          <cell r="F1074">
            <v>0.9234</v>
          </cell>
          <cell r="G1074">
            <v>0.99129999999999996</v>
          </cell>
          <cell r="H1074">
            <v>0.84109999999999996</v>
          </cell>
        </row>
        <row r="1075">
          <cell r="B1075" t="str">
            <v>Summer Lewis</v>
          </cell>
          <cell r="C1075">
            <v>1212</v>
          </cell>
          <cell r="D1075">
            <v>0.94499999999999995</v>
          </cell>
          <cell r="E1075">
            <v>0.7399</v>
          </cell>
          <cell r="F1075">
            <v>0.91249999999999998</v>
          </cell>
          <cell r="G1075">
            <v>0.99019999999999997</v>
          </cell>
          <cell r="H1075">
            <v>0.87819999999999998</v>
          </cell>
        </row>
        <row r="1076">
          <cell r="B1076" t="str">
            <v>Jamie Zacarias</v>
          </cell>
          <cell r="C1076">
            <v>1207</v>
          </cell>
          <cell r="D1076">
            <v>0.79610000000000003</v>
          </cell>
          <cell r="E1076">
            <v>0.81820000000000004</v>
          </cell>
          <cell r="F1076">
            <v>0.89339999999999997</v>
          </cell>
          <cell r="G1076">
            <v>0.99199999999999999</v>
          </cell>
          <cell r="H1076">
            <v>0.85150000000000003</v>
          </cell>
        </row>
        <row r="1077">
          <cell r="B1077" t="str">
            <v>Alandria Williams</v>
          </cell>
          <cell r="C1077">
            <v>1204</v>
          </cell>
          <cell r="D1077">
            <v>0.94720000000000004</v>
          </cell>
          <cell r="E1077">
            <v>0.72040000000000004</v>
          </cell>
          <cell r="F1077">
            <v>0.89390000000000003</v>
          </cell>
          <cell r="G1077">
            <v>0.99119999999999997</v>
          </cell>
          <cell r="H1077">
            <v>0.86760000000000004</v>
          </cell>
        </row>
        <row r="1078">
          <cell r="B1078" t="str">
            <v>Karina Mobley</v>
          </cell>
          <cell r="C1078">
            <v>1201</v>
          </cell>
          <cell r="D1078">
            <v>0.84160000000000001</v>
          </cell>
          <cell r="E1078">
            <v>0.68540000000000001</v>
          </cell>
          <cell r="F1078">
            <v>0.88019999999999998</v>
          </cell>
          <cell r="G1078">
            <v>0.99460000000000004</v>
          </cell>
          <cell r="H1078">
            <v>0.8216</v>
          </cell>
        </row>
        <row r="1079">
          <cell r="B1079" t="str">
            <v>Brittany Martinez</v>
          </cell>
          <cell r="C1079">
            <v>1191</v>
          </cell>
          <cell r="D1079">
            <v>0.92600000000000005</v>
          </cell>
          <cell r="E1079">
            <v>0.67110000000000003</v>
          </cell>
          <cell r="F1079">
            <v>0.79910000000000003</v>
          </cell>
          <cell r="G1079">
            <v>0.99270000000000003</v>
          </cell>
          <cell r="H1079">
            <v>0.81810000000000005</v>
          </cell>
        </row>
        <row r="1080">
          <cell r="B1080" t="str">
            <v>Robert Little</v>
          </cell>
          <cell r="C1080">
            <v>1190</v>
          </cell>
          <cell r="D1080">
            <v>0.79659999999999997</v>
          </cell>
          <cell r="E1080">
            <v>0.67</v>
          </cell>
          <cell r="F1080">
            <v>0.87050000000000005</v>
          </cell>
          <cell r="G1080">
            <v>0.99319999999999997</v>
          </cell>
          <cell r="H1080">
            <v>0.80049999999999999</v>
          </cell>
        </row>
        <row r="1081">
          <cell r="B1081" t="str">
            <v>Darcel Whitaker</v>
          </cell>
          <cell r="C1081">
            <v>1189</v>
          </cell>
          <cell r="D1081">
            <v>0.89059999999999995</v>
          </cell>
          <cell r="E1081">
            <v>0.67779999999999996</v>
          </cell>
          <cell r="F1081">
            <v>0.89319999999999999</v>
          </cell>
          <cell r="G1081">
            <v>0.99260000000000004</v>
          </cell>
          <cell r="H1081">
            <v>0.83779999999999999</v>
          </cell>
        </row>
        <row r="1082">
          <cell r="B1082" t="str">
            <v>Jose Del Carmen</v>
          </cell>
          <cell r="C1082">
            <v>1173</v>
          </cell>
          <cell r="D1082">
            <v>0.7913</v>
          </cell>
          <cell r="E1082">
            <v>0.69350000000000001</v>
          </cell>
          <cell r="F1082">
            <v>0.88339999999999996</v>
          </cell>
          <cell r="G1082">
            <v>0.9919</v>
          </cell>
          <cell r="H1082">
            <v>0.80959999999999999</v>
          </cell>
        </row>
        <row r="1083">
          <cell r="B1083" t="str">
            <v>Samara Scott</v>
          </cell>
          <cell r="C1083">
            <v>1172</v>
          </cell>
          <cell r="D1083">
            <v>0.84789999999999999</v>
          </cell>
          <cell r="E1083">
            <v>0.68020000000000003</v>
          </cell>
          <cell r="F1083">
            <v>0.89900000000000002</v>
          </cell>
          <cell r="G1083">
            <v>0.98880000000000001</v>
          </cell>
          <cell r="H1083">
            <v>0.82699999999999996</v>
          </cell>
        </row>
        <row r="1084">
          <cell r="B1084" t="str">
            <v>Rachel Garcia</v>
          </cell>
          <cell r="C1084">
            <v>1167</v>
          </cell>
          <cell r="D1084">
            <v>0.37069999999999997</v>
          </cell>
          <cell r="E1084">
            <v>0.71089999999999998</v>
          </cell>
          <cell r="F1084">
            <v>0.81489999999999996</v>
          </cell>
          <cell r="G1084">
            <v>0.98050000000000004</v>
          </cell>
          <cell r="H1084">
            <v>0.66700000000000004</v>
          </cell>
        </row>
        <row r="1085">
          <cell r="B1085" t="str">
            <v>Michelle Banks</v>
          </cell>
          <cell r="C1085">
            <v>1167</v>
          </cell>
          <cell r="D1085">
            <v>0.81269999999999998</v>
          </cell>
          <cell r="E1085">
            <v>0.69610000000000005</v>
          </cell>
          <cell r="F1085">
            <v>0.95730000000000004</v>
          </cell>
          <cell r="G1085">
            <v>0.98860000000000003</v>
          </cell>
          <cell r="H1085">
            <v>0.8387</v>
          </cell>
        </row>
        <row r="1086">
          <cell r="B1086" t="str">
            <v>Rudy Salazar</v>
          </cell>
          <cell r="C1086">
            <v>1164</v>
          </cell>
          <cell r="D1086">
            <v>0.29530000000000001</v>
          </cell>
          <cell r="E1086">
            <v>0.69120000000000004</v>
          </cell>
          <cell r="F1086">
            <v>0.83689999999999998</v>
          </cell>
          <cell r="G1086">
            <v>0.98099999999999998</v>
          </cell>
          <cell r="H1086">
            <v>0.64510000000000001</v>
          </cell>
        </row>
        <row r="1087">
          <cell r="B1087" t="str">
            <v>Denmark Bartley</v>
          </cell>
          <cell r="C1087">
            <v>1153</v>
          </cell>
          <cell r="D1087">
            <v>0.91279999999999994</v>
          </cell>
          <cell r="E1087">
            <v>0.68610000000000004</v>
          </cell>
          <cell r="F1087">
            <v>0.87509999999999999</v>
          </cell>
          <cell r="G1087">
            <v>0.99170000000000003</v>
          </cell>
          <cell r="H1087">
            <v>0.84140000000000004</v>
          </cell>
        </row>
        <row r="1088">
          <cell r="B1088" t="str">
            <v>Tylise Howard</v>
          </cell>
          <cell r="C1088">
            <v>1151</v>
          </cell>
          <cell r="D1088">
            <v>0.96750000000000003</v>
          </cell>
          <cell r="E1088">
            <v>0.71289999999999998</v>
          </cell>
          <cell r="F1088">
            <v>0.88</v>
          </cell>
          <cell r="G1088">
            <v>0.98960000000000004</v>
          </cell>
          <cell r="H1088">
            <v>0.86709999999999998</v>
          </cell>
        </row>
        <row r="1089">
          <cell r="B1089" t="str">
            <v>Christopher Clark</v>
          </cell>
          <cell r="C1089">
            <v>1131</v>
          </cell>
          <cell r="D1089">
            <v>0.73440000000000005</v>
          </cell>
          <cell r="E1089">
            <v>0.61309999999999998</v>
          </cell>
          <cell r="F1089">
            <v>0.88939999999999997</v>
          </cell>
          <cell r="G1089">
            <v>0.99750000000000005</v>
          </cell>
          <cell r="H1089">
            <v>0.77080000000000004</v>
          </cell>
        </row>
        <row r="1090">
          <cell r="B1090" t="str">
            <v>Bernicia Rocker</v>
          </cell>
          <cell r="C1090">
            <v>1131</v>
          </cell>
          <cell r="D1090">
            <v>0.93269999999999997</v>
          </cell>
          <cell r="E1090">
            <v>0.74270000000000003</v>
          </cell>
          <cell r="F1090">
            <v>0.91349999999999998</v>
          </cell>
          <cell r="G1090">
            <v>0.9919</v>
          </cell>
          <cell r="H1090">
            <v>0.87590000000000001</v>
          </cell>
        </row>
        <row r="1091">
          <cell r="B1091" t="str">
            <v>Courtney Lien</v>
          </cell>
          <cell r="C1091">
            <v>1128</v>
          </cell>
          <cell r="D1091">
            <v>0.92279999999999995</v>
          </cell>
          <cell r="E1091">
            <v>0.69810000000000005</v>
          </cell>
          <cell r="F1091">
            <v>0.95599999999999996</v>
          </cell>
          <cell r="G1091">
            <v>0.99550000000000005</v>
          </cell>
          <cell r="H1091">
            <v>0.87260000000000004</v>
          </cell>
        </row>
        <row r="1092">
          <cell r="B1092" t="str">
            <v>Tracy Hunter</v>
          </cell>
          <cell r="C1092">
            <v>1127</v>
          </cell>
          <cell r="D1092">
            <v>0.92459999999999998</v>
          </cell>
          <cell r="E1092">
            <v>0.73480000000000001</v>
          </cell>
          <cell r="F1092">
            <v>0.89949999999999997</v>
          </cell>
          <cell r="G1092">
            <v>0.98770000000000002</v>
          </cell>
          <cell r="H1092">
            <v>0.86639999999999995</v>
          </cell>
        </row>
        <row r="1093">
          <cell r="B1093" t="str">
            <v>Jan Uithoven</v>
          </cell>
          <cell r="C1093">
            <v>1125</v>
          </cell>
          <cell r="D1093">
            <v>0.94450000000000001</v>
          </cell>
          <cell r="E1093">
            <v>0.60429999999999995</v>
          </cell>
          <cell r="F1093">
            <v>0.85570000000000002</v>
          </cell>
          <cell r="G1093">
            <v>0.9929</v>
          </cell>
          <cell r="H1093">
            <v>0.8206</v>
          </cell>
        </row>
        <row r="1094">
          <cell r="B1094" t="str">
            <v>Tina Fischer</v>
          </cell>
          <cell r="C1094">
            <v>1124</v>
          </cell>
          <cell r="D1094">
            <v>0.9022</v>
          </cell>
          <cell r="E1094">
            <v>0.64770000000000005</v>
          </cell>
          <cell r="F1094">
            <v>0.89900000000000002</v>
          </cell>
          <cell r="G1094">
            <v>0.99550000000000005</v>
          </cell>
          <cell r="H1094">
            <v>0.83420000000000005</v>
          </cell>
        </row>
        <row r="1095">
          <cell r="B1095" t="str">
            <v>Jill Powers</v>
          </cell>
          <cell r="C1095">
            <v>1124</v>
          </cell>
          <cell r="D1095">
            <v>0.90569999999999995</v>
          </cell>
          <cell r="E1095">
            <v>0.72350000000000003</v>
          </cell>
          <cell r="F1095">
            <v>0.93740000000000001</v>
          </cell>
          <cell r="G1095">
            <v>0.99070000000000003</v>
          </cell>
          <cell r="H1095">
            <v>0.86909999999999998</v>
          </cell>
        </row>
        <row r="1096">
          <cell r="B1096" t="str">
            <v>MaryAnne Scarlett</v>
          </cell>
          <cell r="C1096">
            <v>1121</v>
          </cell>
          <cell r="D1096">
            <v>0.89400000000000002</v>
          </cell>
          <cell r="E1096">
            <v>0.75519999999999998</v>
          </cell>
          <cell r="F1096">
            <v>0.93820000000000003</v>
          </cell>
          <cell r="G1096">
            <v>0.99960000000000004</v>
          </cell>
          <cell r="H1096">
            <v>0.87619999999999998</v>
          </cell>
        </row>
        <row r="1097">
          <cell r="B1097" t="str">
            <v>Nigel Wilkinson</v>
          </cell>
          <cell r="C1097">
            <v>1118</v>
          </cell>
          <cell r="D1097">
            <v>0.76380000000000003</v>
          </cell>
          <cell r="E1097">
            <v>0.68100000000000005</v>
          </cell>
          <cell r="F1097">
            <v>0.85660000000000003</v>
          </cell>
          <cell r="G1097">
            <v>0.98709999999999998</v>
          </cell>
          <cell r="H1097">
            <v>0.78910000000000002</v>
          </cell>
        </row>
        <row r="1098">
          <cell r="B1098" t="str">
            <v>Shanell Boles</v>
          </cell>
          <cell r="C1098">
            <v>1113</v>
          </cell>
          <cell r="D1098">
            <v>0.84950000000000003</v>
          </cell>
          <cell r="E1098">
            <v>0.78539999999999999</v>
          </cell>
          <cell r="F1098">
            <v>0.89149999999999996</v>
          </cell>
          <cell r="G1098">
            <v>0.99660000000000004</v>
          </cell>
          <cell r="H1098">
            <v>0.85760000000000003</v>
          </cell>
        </row>
        <row r="1099">
          <cell r="B1099" t="str">
            <v>Kyle Stephens</v>
          </cell>
          <cell r="C1099">
            <v>1105</v>
          </cell>
          <cell r="D1099">
            <v>0.96140000000000003</v>
          </cell>
          <cell r="E1099">
            <v>0.63890000000000002</v>
          </cell>
          <cell r="F1099">
            <v>0.90869999999999995</v>
          </cell>
          <cell r="G1099">
            <v>0.997</v>
          </cell>
          <cell r="H1099">
            <v>0.85240000000000005</v>
          </cell>
        </row>
        <row r="1100">
          <cell r="B1100" t="str">
            <v>Nay Gaddis</v>
          </cell>
          <cell r="C1100">
            <v>1090</v>
          </cell>
          <cell r="D1100">
            <v>0.95479999999999998</v>
          </cell>
          <cell r="E1100">
            <v>0.72850000000000004</v>
          </cell>
          <cell r="F1100">
            <v>0.85260000000000002</v>
          </cell>
          <cell r="G1100">
            <v>0.99329999999999996</v>
          </cell>
          <cell r="H1100">
            <v>0.86009999999999998</v>
          </cell>
        </row>
        <row r="1101">
          <cell r="B1101" t="str">
            <v>Kourtney Jarrett</v>
          </cell>
          <cell r="C1101">
            <v>1085</v>
          </cell>
          <cell r="D1101">
            <v>0.83789999999999998</v>
          </cell>
          <cell r="E1101">
            <v>0.71540000000000004</v>
          </cell>
          <cell r="F1101">
            <v>0.90380000000000005</v>
          </cell>
          <cell r="G1101">
            <v>0.99380000000000002</v>
          </cell>
          <cell r="H1101">
            <v>0.83650000000000002</v>
          </cell>
        </row>
        <row r="1102">
          <cell r="B1102" t="str">
            <v>Ikeasha Andrews</v>
          </cell>
          <cell r="C1102">
            <v>1081</v>
          </cell>
          <cell r="D1102">
            <v>0.91839999999999999</v>
          </cell>
          <cell r="E1102">
            <v>0.71140000000000003</v>
          </cell>
          <cell r="F1102">
            <v>0.87239999999999995</v>
          </cell>
          <cell r="G1102">
            <v>0.995</v>
          </cell>
          <cell r="H1102">
            <v>0.85019999999999996</v>
          </cell>
        </row>
        <row r="1103">
          <cell r="B1103" t="str">
            <v>Brenda Flores</v>
          </cell>
          <cell r="C1103">
            <v>1077</v>
          </cell>
          <cell r="D1103">
            <v>0.33810000000000001</v>
          </cell>
          <cell r="E1103">
            <v>0.63219999999999998</v>
          </cell>
          <cell r="F1103">
            <v>0.93179999999999996</v>
          </cell>
          <cell r="G1103">
            <v>0.97209999999999996</v>
          </cell>
          <cell r="H1103">
            <v>0.66779999999999995</v>
          </cell>
        </row>
        <row r="1104">
          <cell r="B1104" t="str">
            <v>Quanesha Jones</v>
          </cell>
          <cell r="C1104">
            <v>1064</v>
          </cell>
          <cell r="D1104">
            <v>0.90539999999999998</v>
          </cell>
          <cell r="E1104">
            <v>0.68489999999999995</v>
          </cell>
          <cell r="F1104">
            <v>0.87949999999999995</v>
          </cell>
          <cell r="G1104">
            <v>0.99399999999999999</v>
          </cell>
          <cell r="H1104">
            <v>0.84030000000000005</v>
          </cell>
        </row>
        <row r="1105">
          <cell r="B1105" t="str">
            <v>Augusta Garber</v>
          </cell>
          <cell r="C1105">
            <v>1058</v>
          </cell>
          <cell r="D1105">
            <v>0.80400000000000005</v>
          </cell>
          <cell r="E1105">
            <v>0.68579999999999997</v>
          </cell>
          <cell r="F1105">
            <v>0.86499999999999999</v>
          </cell>
          <cell r="G1105">
            <v>0.97719999999999996</v>
          </cell>
          <cell r="H1105">
            <v>0.80420000000000003</v>
          </cell>
        </row>
        <row r="1106">
          <cell r="B1106" t="str">
            <v>Tarkeitta Clark</v>
          </cell>
          <cell r="C1106">
            <v>1045</v>
          </cell>
          <cell r="D1106">
            <v>0.88870000000000005</v>
          </cell>
          <cell r="E1106">
            <v>0.65280000000000005</v>
          </cell>
          <cell r="F1106">
            <v>0.91500000000000004</v>
          </cell>
          <cell r="G1106">
            <v>0.98460000000000003</v>
          </cell>
          <cell r="H1106">
            <v>0.83540000000000003</v>
          </cell>
        </row>
        <row r="1107">
          <cell r="B1107" t="str">
            <v>Brittany Burns</v>
          </cell>
          <cell r="C1107">
            <v>1042</v>
          </cell>
          <cell r="D1107">
            <v>0.9032</v>
          </cell>
          <cell r="E1107">
            <v>0.70820000000000005</v>
          </cell>
          <cell r="F1107">
            <v>0.88719999999999999</v>
          </cell>
          <cell r="G1107">
            <v>0.99099999999999999</v>
          </cell>
          <cell r="H1107">
            <v>0.84870000000000001</v>
          </cell>
        </row>
        <row r="1108">
          <cell r="B1108" t="str">
            <v>Bindu Sathyendra</v>
          </cell>
          <cell r="C1108">
            <v>1041</v>
          </cell>
          <cell r="D1108">
            <v>0.92730000000000001</v>
          </cell>
          <cell r="E1108">
            <v>0.71719999999999995</v>
          </cell>
          <cell r="F1108">
            <v>0.92130000000000001</v>
          </cell>
          <cell r="G1108">
            <v>0.98740000000000006</v>
          </cell>
          <cell r="H1108">
            <v>0.86850000000000005</v>
          </cell>
        </row>
        <row r="1109">
          <cell r="B1109" t="str">
            <v>Madeleine Struble</v>
          </cell>
          <cell r="C1109">
            <v>1040</v>
          </cell>
          <cell r="D1109">
            <v>0.93779999999999997</v>
          </cell>
          <cell r="E1109">
            <v>0.70389999999999997</v>
          </cell>
          <cell r="F1109">
            <v>0.90380000000000005</v>
          </cell>
          <cell r="G1109">
            <v>0.99209999999999998</v>
          </cell>
          <cell r="H1109">
            <v>0.8629</v>
          </cell>
        </row>
        <row r="1110">
          <cell r="B1110" t="str">
            <v>Darla Hancher</v>
          </cell>
          <cell r="C1110">
            <v>1034</v>
          </cell>
          <cell r="D1110">
            <v>0.90169999999999995</v>
          </cell>
          <cell r="E1110">
            <v>0.67379999999999995</v>
          </cell>
          <cell r="F1110">
            <v>0.92730000000000001</v>
          </cell>
          <cell r="G1110">
            <v>0.98809999999999998</v>
          </cell>
          <cell r="H1110">
            <v>0.84970000000000001</v>
          </cell>
        </row>
        <row r="1111">
          <cell r="B1111" t="str">
            <v>Jennifer Cao</v>
          </cell>
          <cell r="C1111">
            <v>1024</v>
          </cell>
          <cell r="D1111">
            <v>0.89190000000000003</v>
          </cell>
          <cell r="E1111">
            <v>0.68030000000000002</v>
          </cell>
          <cell r="F1111">
            <v>0.92279999999999995</v>
          </cell>
          <cell r="G1111">
            <v>0.99219999999999997</v>
          </cell>
          <cell r="H1111">
            <v>0.84770000000000001</v>
          </cell>
        </row>
        <row r="1112">
          <cell r="B1112" t="str">
            <v>Victoria Caudill</v>
          </cell>
          <cell r="C1112">
            <v>1021</v>
          </cell>
          <cell r="D1112">
            <v>0.8891</v>
          </cell>
          <cell r="E1112">
            <v>0.71230000000000004</v>
          </cell>
          <cell r="F1112">
            <v>0.90529999999999999</v>
          </cell>
          <cell r="G1112">
            <v>0.99150000000000005</v>
          </cell>
          <cell r="H1112">
            <v>0.85109999999999997</v>
          </cell>
        </row>
        <row r="1113">
          <cell r="B1113" t="str">
            <v>Yasmyn Johnson</v>
          </cell>
          <cell r="C1113">
            <v>1020</v>
          </cell>
          <cell r="D1113">
            <v>0.81859999999999999</v>
          </cell>
          <cell r="E1113">
            <v>0.67069999999999996</v>
          </cell>
          <cell r="F1113">
            <v>0.90449999999999997</v>
          </cell>
          <cell r="G1113">
            <v>0.99409999999999998</v>
          </cell>
          <cell r="H1113">
            <v>0.8175</v>
          </cell>
        </row>
        <row r="1114">
          <cell r="B1114" t="str">
            <v>Jovona Burns</v>
          </cell>
          <cell r="C1114">
            <v>1009</v>
          </cell>
          <cell r="D1114">
            <v>0.93830000000000002</v>
          </cell>
          <cell r="E1114">
            <v>0.6431</v>
          </cell>
          <cell r="F1114">
            <v>0.93669999999999998</v>
          </cell>
          <cell r="G1114">
            <v>0.99509999999999998</v>
          </cell>
          <cell r="H1114">
            <v>0.85489999999999999</v>
          </cell>
        </row>
        <row r="1115">
          <cell r="B1115" t="str">
            <v>Mykia Brown</v>
          </cell>
          <cell r="C1115">
            <v>1005</v>
          </cell>
          <cell r="D1115">
            <v>0.88339999999999996</v>
          </cell>
          <cell r="E1115">
            <v>0.77680000000000005</v>
          </cell>
          <cell r="F1115">
            <v>0.8599</v>
          </cell>
          <cell r="G1115">
            <v>0.97809999999999997</v>
          </cell>
          <cell r="H1115">
            <v>0.8538</v>
          </cell>
        </row>
        <row r="1116">
          <cell r="B1116" t="str">
            <v>Anquenette Hutchinson</v>
          </cell>
          <cell r="C1116">
            <v>998</v>
          </cell>
          <cell r="D1116">
            <v>0.90749999999999997</v>
          </cell>
          <cell r="E1116">
            <v>0.67320000000000002</v>
          </cell>
          <cell r="F1116">
            <v>0.85040000000000004</v>
          </cell>
          <cell r="G1116">
            <v>0.99390000000000001</v>
          </cell>
          <cell r="H1116">
            <v>0.82869999999999999</v>
          </cell>
        </row>
        <row r="1117">
          <cell r="B1117" t="str">
            <v>Zoe McCammon</v>
          </cell>
          <cell r="C1117">
            <v>995</v>
          </cell>
          <cell r="D1117">
            <v>0.85560000000000003</v>
          </cell>
          <cell r="E1117">
            <v>0.69130000000000003</v>
          </cell>
          <cell r="F1117">
            <v>0.88429999999999997</v>
          </cell>
          <cell r="G1117">
            <v>0.99670000000000003</v>
          </cell>
          <cell r="H1117">
            <v>0.82899999999999996</v>
          </cell>
        </row>
        <row r="1118">
          <cell r="B1118" t="str">
            <v>Taylor Soublet</v>
          </cell>
          <cell r="C1118">
            <v>994</v>
          </cell>
          <cell r="D1118">
            <v>0.75870000000000004</v>
          </cell>
          <cell r="E1118">
            <v>0.65900000000000003</v>
          </cell>
          <cell r="F1118">
            <v>0.89839999999999998</v>
          </cell>
          <cell r="G1118">
            <v>0.98909999999999998</v>
          </cell>
          <cell r="H1118">
            <v>0.79369999999999996</v>
          </cell>
        </row>
        <row r="1119">
          <cell r="B1119" t="str">
            <v>Yazli Yerena</v>
          </cell>
          <cell r="C1119">
            <v>989</v>
          </cell>
          <cell r="D1119">
            <v>0.30049999999999999</v>
          </cell>
          <cell r="E1119">
            <v>0.7379</v>
          </cell>
          <cell r="F1119">
            <v>0.77680000000000005</v>
          </cell>
          <cell r="G1119">
            <v>0.97589999999999999</v>
          </cell>
          <cell r="H1119">
            <v>0.6421</v>
          </cell>
        </row>
        <row r="1120">
          <cell r="B1120" t="str">
            <v>Seylour Sinegal</v>
          </cell>
          <cell r="C1120">
            <v>984</v>
          </cell>
          <cell r="D1120">
            <v>0.9869</v>
          </cell>
          <cell r="E1120">
            <v>0.72819999999999996</v>
          </cell>
          <cell r="F1120">
            <v>0.84060000000000001</v>
          </cell>
          <cell r="G1120">
            <v>0.99490000000000001</v>
          </cell>
          <cell r="H1120">
            <v>0.86619999999999997</v>
          </cell>
        </row>
        <row r="1121">
          <cell r="B1121" t="str">
            <v>Kristin Nisbett</v>
          </cell>
          <cell r="C1121">
            <v>974</v>
          </cell>
          <cell r="D1121">
            <v>0.9042</v>
          </cell>
          <cell r="E1121">
            <v>0.71719999999999995</v>
          </cell>
          <cell r="F1121">
            <v>0.87749999999999995</v>
          </cell>
          <cell r="G1121">
            <v>0.99</v>
          </cell>
          <cell r="H1121">
            <v>0.84870000000000001</v>
          </cell>
        </row>
        <row r="1122">
          <cell r="B1122" t="str">
            <v>Ammy Banda</v>
          </cell>
          <cell r="C1122">
            <v>974</v>
          </cell>
          <cell r="D1122">
            <v>0.79679999999999995</v>
          </cell>
          <cell r="E1122">
            <v>0.71430000000000005</v>
          </cell>
          <cell r="F1122">
            <v>0.92210000000000003</v>
          </cell>
          <cell r="G1122">
            <v>0.99070000000000003</v>
          </cell>
          <cell r="H1122">
            <v>0.82899999999999996</v>
          </cell>
        </row>
        <row r="1123">
          <cell r="B1123" t="str">
            <v>Cynthia Jackson</v>
          </cell>
          <cell r="C1123">
            <v>969</v>
          </cell>
          <cell r="D1123">
            <v>0.8841</v>
          </cell>
          <cell r="E1123">
            <v>0.69299999999999995</v>
          </cell>
          <cell r="F1123">
            <v>0.9163</v>
          </cell>
          <cell r="G1123">
            <v>0.99219999999999997</v>
          </cell>
          <cell r="H1123">
            <v>0.84730000000000005</v>
          </cell>
        </row>
        <row r="1124">
          <cell r="B1124" t="str">
            <v>Erica Morris</v>
          </cell>
          <cell r="C1124">
            <v>954</v>
          </cell>
          <cell r="D1124">
            <v>0.91300000000000003</v>
          </cell>
          <cell r="E1124">
            <v>0.67090000000000005</v>
          </cell>
          <cell r="F1124">
            <v>0.89759999999999995</v>
          </cell>
          <cell r="G1124">
            <v>0.99129999999999996</v>
          </cell>
          <cell r="H1124">
            <v>0.84360000000000002</v>
          </cell>
        </row>
        <row r="1125">
          <cell r="B1125" t="str">
            <v>Trezher Lanier</v>
          </cell>
          <cell r="C1125">
            <v>949</v>
          </cell>
          <cell r="D1125">
            <v>0.81620000000000004</v>
          </cell>
          <cell r="E1125">
            <v>0.63949999999999996</v>
          </cell>
          <cell r="F1125">
            <v>0.92900000000000005</v>
          </cell>
          <cell r="G1125">
            <v>0.98980000000000001</v>
          </cell>
          <cell r="H1125">
            <v>0.81440000000000001</v>
          </cell>
        </row>
        <row r="1126">
          <cell r="B1126" t="str">
            <v>Kayleigh Cuiksa</v>
          </cell>
          <cell r="C1126">
            <v>944</v>
          </cell>
          <cell r="D1126">
            <v>0.91269999999999996</v>
          </cell>
          <cell r="E1126">
            <v>0.67510000000000003</v>
          </cell>
          <cell r="F1126">
            <v>0.94359999999999999</v>
          </cell>
          <cell r="G1126">
            <v>0.99729999999999996</v>
          </cell>
          <cell r="H1126">
            <v>0.85919999999999996</v>
          </cell>
        </row>
        <row r="1127">
          <cell r="B1127" t="str">
            <v>Ladonna Brickner</v>
          </cell>
          <cell r="C1127">
            <v>939</v>
          </cell>
          <cell r="D1127">
            <v>0.98580000000000001</v>
          </cell>
          <cell r="E1127">
            <v>0.71289999999999998</v>
          </cell>
          <cell r="F1127">
            <v>0.92910000000000004</v>
          </cell>
          <cell r="G1127">
            <v>0.99739999999999995</v>
          </cell>
          <cell r="H1127">
            <v>0.8881</v>
          </cell>
        </row>
        <row r="1128">
          <cell r="B1128" t="str">
            <v>Lasaundra Lake</v>
          </cell>
          <cell r="C1128">
            <v>920</v>
          </cell>
          <cell r="D1128">
            <v>0.84960000000000002</v>
          </cell>
          <cell r="E1128">
            <v>0.65790000000000004</v>
          </cell>
          <cell r="F1128">
            <v>0.83840000000000003</v>
          </cell>
          <cell r="G1128">
            <v>0.99660000000000004</v>
          </cell>
          <cell r="H1128">
            <v>0.8034</v>
          </cell>
        </row>
        <row r="1129">
          <cell r="B1129" t="str">
            <v>Shirree Williams</v>
          </cell>
          <cell r="C1129">
            <v>880</v>
          </cell>
          <cell r="D1129">
            <v>0.87509999999999999</v>
          </cell>
          <cell r="E1129">
            <v>0.71189999999999998</v>
          </cell>
          <cell r="F1129">
            <v>0.86170000000000002</v>
          </cell>
          <cell r="G1129">
            <v>0.98860000000000003</v>
          </cell>
          <cell r="H1129">
            <v>0.83350000000000002</v>
          </cell>
        </row>
        <row r="1130">
          <cell r="B1130" t="str">
            <v>Jelisha Toney</v>
          </cell>
          <cell r="C1130">
            <v>877</v>
          </cell>
          <cell r="D1130">
            <v>0.9456</v>
          </cell>
          <cell r="E1130">
            <v>0.80389999999999995</v>
          </cell>
          <cell r="F1130">
            <v>0.87309999999999999</v>
          </cell>
          <cell r="G1130">
            <v>0.99570000000000003</v>
          </cell>
          <cell r="H1130">
            <v>0.88629999999999998</v>
          </cell>
        </row>
        <row r="1131">
          <cell r="B1131" t="str">
            <v>Bridgett Tolliver</v>
          </cell>
          <cell r="C1131">
            <v>875</v>
          </cell>
          <cell r="D1131">
            <v>0.90339999999999998</v>
          </cell>
          <cell r="E1131">
            <v>0.69010000000000005</v>
          </cell>
          <cell r="F1131">
            <v>0.90029999999999999</v>
          </cell>
          <cell r="G1131">
            <v>0.9899</v>
          </cell>
          <cell r="H1131">
            <v>0.84709999999999996</v>
          </cell>
        </row>
        <row r="1132">
          <cell r="B1132" t="str">
            <v>Maya Mosley</v>
          </cell>
          <cell r="C1132">
            <v>871</v>
          </cell>
          <cell r="D1132">
            <v>0.74339999999999995</v>
          </cell>
          <cell r="E1132">
            <v>0.62570000000000003</v>
          </cell>
          <cell r="F1132">
            <v>0.67410000000000003</v>
          </cell>
          <cell r="G1132">
            <v>0.97919999999999996</v>
          </cell>
          <cell r="H1132">
            <v>0.71089999999999998</v>
          </cell>
        </row>
        <row r="1133">
          <cell r="B1133" t="str">
            <v>NDia Cole</v>
          </cell>
          <cell r="C1133">
            <v>863</v>
          </cell>
          <cell r="D1133">
            <v>0.80689999999999995</v>
          </cell>
          <cell r="E1133">
            <v>0.6724</v>
          </cell>
          <cell r="F1133">
            <v>0.88019999999999998</v>
          </cell>
          <cell r="G1133">
            <v>0.99309999999999998</v>
          </cell>
          <cell r="H1133">
            <v>0.80720000000000003</v>
          </cell>
        </row>
        <row r="1134">
          <cell r="B1134" t="str">
            <v>Mckenzie Wiseman</v>
          </cell>
          <cell r="C1134">
            <v>856</v>
          </cell>
          <cell r="D1134">
            <v>0.91779999999999995</v>
          </cell>
          <cell r="E1134">
            <v>0.74480000000000002</v>
          </cell>
          <cell r="F1134">
            <v>0.9587</v>
          </cell>
          <cell r="G1134">
            <v>0.99539999999999995</v>
          </cell>
          <cell r="H1134">
            <v>0.88590000000000002</v>
          </cell>
        </row>
        <row r="1135">
          <cell r="B1135" t="str">
            <v>Andrew Landa</v>
          </cell>
          <cell r="C1135">
            <v>851</v>
          </cell>
          <cell r="D1135">
            <v>0.88600000000000001</v>
          </cell>
          <cell r="E1135">
            <v>0.61699999999999999</v>
          </cell>
          <cell r="F1135">
            <v>0.84909999999999997</v>
          </cell>
          <cell r="G1135">
            <v>0.99439999999999995</v>
          </cell>
          <cell r="H1135">
            <v>0.80510000000000004</v>
          </cell>
        </row>
        <row r="1136">
          <cell r="B1136" t="str">
            <v>Kinddricka Qualls</v>
          </cell>
          <cell r="C1136">
            <v>832</v>
          </cell>
          <cell r="D1136">
            <v>0.93310000000000004</v>
          </cell>
          <cell r="E1136">
            <v>0.69199999999999995</v>
          </cell>
          <cell r="F1136">
            <v>0.86529999999999996</v>
          </cell>
          <cell r="G1136">
            <v>0.99639999999999995</v>
          </cell>
          <cell r="H1136">
            <v>0.84670000000000001</v>
          </cell>
        </row>
        <row r="1137">
          <cell r="B1137" t="str">
            <v>Love Oladele</v>
          </cell>
          <cell r="C1137">
            <v>831</v>
          </cell>
          <cell r="D1137">
            <v>0.93830000000000002</v>
          </cell>
          <cell r="E1137">
            <v>0.69189999999999996</v>
          </cell>
          <cell r="F1137">
            <v>0.87390000000000001</v>
          </cell>
          <cell r="G1137">
            <v>0.99139999999999995</v>
          </cell>
          <cell r="H1137">
            <v>0.85040000000000004</v>
          </cell>
        </row>
        <row r="1138">
          <cell r="B1138" t="str">
            <v>Felicia Jackson</v>
          </cell>
          <cell r="C1138">
            <v>826</v>
          </cell>
          <cell r="D1138">
            <v>0.87549999999999994</v>
          </cell>
          <cell r="E1138">
            <v>0.64059999999999995</v>
          </cell>
          <cell r="F1138">
            <v>0.74139999999999995</v>
          </cell>
          <cell r="G1138">
            <v>0.99490000000000001</v>
          </cell>
          <cell r="H1138">
            <v>0.77669999999999995</v>
          </cell>
        </row>
        <row r="1139">
          <cell r="B1139" t="str">
            <v>Linda Sjolund</v>
          </cell>
          <cell r="C1139">
            <v>820</v>
          </cell>
          <cell r="D1139">
            <v>0.9264</v>
          </cell>
          <cell r="E1139">
            <v>0.68289999999999995</v>
          </cell>
          <cell r="F1139">
            <v>0.91679999999999995</v>
          </cell>
          <cell r="G1139">
            <v>0.98719999999999997</v>
          </cell>
          <cell r="H1139">
            <v>0.85650000000000004</v>
          </cell>
        </row>
        <row r="1140">
          <cell r="B1140" t="str">
            <v>Savannah Davidson</v>
          </cell>
          <cell r="C1140">
            <v>819</v>
          </cell>
          <cell r="D1140">
            <v>0.85640000000000005</v>
          </cell>
          <cell r="E1140">
            <v>0.68159999999999998</v>
          </cell>
          <cell r="F1140">
            <v>0.93079999999999996</v>
          </cell>
          <cell r="G1140">
            <v>0.99050000000000005</v>
          </cell>
          <cell r="H1140">
            <v>0.8397</v>
          </cell>
        </row>
        <row r="1141">
          <cell r="B1141" t="str">
            <v>Kimberly Grabher</v>
          </cell>
          <cell r="C1141">
            <v>819</v>
          </cell>
          <cell r="D1141">
            <v>0.87209999999999999</v>
          </cell>
          <cell r="E1141">
            <v>0.68340000000000001</v>
          </cell>
          <cell r="F1141">
            <v>0.92849999999999999</v>
          </cell>
          <cell r="G1141">
            <v>0.96309999999999996</v>
          </cell>
          <cell r="H1141">
            <v>0.84150000000000003</v>
          </cell>
        </row>
        <row r="1142">
          <cell r="B1142" t="str">
            <v>Tichinia Cathcart</v>
          </cell>
          <cell r="C1142">
            <v>813</v>
          </cell>
          <cell r="D1142">
            <v>0.8609</v>
          </cell>
          <cell r="E1142">
            <v>0.67930000000000001</v>
          </cell>
          <cell r="F1142">
            <v>0.85899999999999999</v>
          </cell>
          <cell r="G1142">
            <v>0.96299999999999997</v>
          </cell>
          <cell r="H1142">
            <v>0.81599999999999995</v>
          </cell>
        </row>
        <row r="1143">
          <cell r="B1143" t="str">
            <v>Tatyana Jackson</v>
          </cell>
          <cell r="C1143">
            <v>810</v>
          </cell>
          <cell r="D1143">
            <v>0.85289999999999999</v>
          </cell>
          <cell r="E1143">
            <v>0.69130000000000003</v>
          </cell>
          <cell r="F1143">
            <v>0.80820000000000003</v>
          </cell>
          <cell r="G1143">
            <v>0.98839999999999995</v>
          </cell>
          <cell r="H1143">
            <v>0.80459999999999998</v>
          </cell>
        </row>
        <row r="1144">
          <cell r="B1144" t="str">
            <v>Kayla Watkins</v>
          </cell>
          <cell r="C1144">
            <v>810</v>
          </cell>
          <cell r="D1144">
            <v>0.8357</v>
          </cell>
          <cell r="E1144">
            <v>0.64810000000000001</v>
          </cell>
          <cell r="F1144">
            <v>0.74780000000000002</v>
          </cell>
          <cell r="G1144">
            <v>0.98480000000000001</v>
          </cell>
          <cell r="H1144">
            <v>0.76790000000000003</v>
          </cell>
        </row>
        <row r="1145">
          <cell r="B1145" t="str">
            <v>Lynette Rodriguez</v>
          </cell>
          <cell r="C1145">
            <v>806</v>
          </cell>
          <cell r="D1145">
            <v>0.90190000000000003</v>
          </cell>
          <cell r="E1145">
            <v>0.74539999999999995</v>
          </cell>
          <cell r="F1145">
            <v>0.94120000000000004</v>
          </cell>
          <cell r="G1145">
            <v>0.99370000000000003</v>
          </cell>
          <cell r="H1145">
            <v>0.87590000000000001</v>
          </cell>
        </row>
        <row r="1146">
          <cell r="B1146" t="str">
            <v>Janet Carlisle</v>
          </cell>
          <cell r="C1146">
            <v>802</v>
          </cell>
          <cell r="D1146">
            <v>0.90720000000000001</v>
          </cell>
          <cell r="E1146">
            <v>0.73050000000000004</v>
          </cell>
          <cell r="F1146">
            <v>0.91830000000000001</v>
          </cell>
          <cell r="G1146">
            <v>0.99039999999999995</v>
          </cell>
          <cell r="H1146">
            <v>0.86580000000000001</v>
          </cell>
        </row>
        <row r="1147">
          <cell r="B1147" t="str">
            <v>Dianna Payton</v>
          </cell>
          <cell r="C1147">
            <v>793</v>
          </cell>
          <cell r="D1147">
            <v>0.87660000000000005</v>
          </cell>
          <cell r="E1147">
            <v>0.69830000000000003</v>
          </cell>
          <cell r="F1147">
            <v>0.89929999999999999</v>
          </cell>
          <cell r="G1147">
            <v>0.98699999999999999</v>
          </cell>
          <cell r="H1147">
            <v>0.84089999999999998</v>
          </cell>
        </row>
        <row r="1148">
          <cell r="B1148" t="str">
            <v>Teresa Porter</v>
          </cell>
          <cell r="C1148">
            <v>787</v>
          </cell>
          <cell r="D1148">
            <v>0.91779999999999995</v>
          </cell>
          <cell r="E1148">
            <v>0.60289999999999999</v>
          </cell>
          <cell r="F1148">
            <v>0.91590000000000005</v>
          </cell>
          <cell r="G1148">
            <v>0.98850000000000005</v>
          </cell>
          <cell r="H1148">
            <v>0.82979999999999998</v>
          </cell>
        </row>
        <row r="1149">
          <cell r="B1149" t="str">
            <v>Ashley Strawder</v>
          </cell>
          <cell r="C1149">
            <v>782</v>
          </cell>
          <cell r="D1149">
            <v>0.87939999999999996</v>
          </cell>
          <cell r="E1149">
            <v>0.71130000000000004</v>
          </cell>
          <cell r="F1149">
            <v>0.89070000000000005</v>
          </cell>
          <cell r="G1149">
            <v>0.99099999999999999</v>
          </cell>
          <cell r="H1149">
            <v>0.84350000000000003</v>
          </cell>
        </row>
        <row r="1150">
          <cell r="B1150" t="str">
            <v>Kimberly Moore</v>
          </cell>
          <cell r="C1150">
            <v>780</v>
          </cell>
          <cell r="D1150">
            <v>0.9577</v>
          </cell>
          <cell r="E1150">
            <v>0.751</v>
          </cell>
          <cell r="F1150">
            <v>0.89419999999999999</v>
          </cell>
          <cell r="G1150">
            <v>0.99329999999999996</v>
          </cell>
          <cell r="H1150">
            <v>0.88019999999999998</v>
          </cell>
        </row>
        <row r="1151">
          <cell r="B1151" t="str">
            <v>Thomal Bellinger</v>
          </cell>
          <cell r="C1151">
            <v>777</v>
          </cell>
          <cell r="D1151">
            <v>0.82369999999999999</v>
          </cell>
          <cell r="E1151">
            <v>0.69569999999999999</v>
          </cell>
          <cell r="F1151">
            <v>0.83320000000000005</v>
          </cell>
          <cell r="G1151">
            <v>0.99009999999999998</v>
          </cell>
          <cell r="H1151">
            <v>0.80479999999999996</v>
          </cell>
        </row>
        <row r="1152">
          <cell r="B1152" t="str">
            <v>Chris-Ann Lewis</v>
          </cell>
          <cell r="C1152">
            <v>777</v>
          </cell>
          <cell r="D1152">
            <v>0.87229999999999996</v>
          </cell>
          <cell r="E1152">
            <v>0.73699999999999999</v>
          </cell>
          <cell r="F1152">
            <v>0.89880000000000004</v>
          </cell>
          <cell r="G1152">
            <v>0.90410000000000001</v>
          </cell>
          <cell r="H1152">
            <v>0.84279999999999999</v>
          </cell>
        </row>
        <row r="1153">
          <cell r="B1153" t="str">
            <v>Anthony Jones</v>
          </cell>
          <cell r="C1153">
            <v>777</v>
          </cell>
          <cell r="D1153">
            <v>0.80900000000000005</v>
          </cell>
          <cell r="E1153">
            <v>0.71399999999999997</v>
          </cell>
          <cell r="F1153">
            <v>0.83540000000000003</v>
          </cell>
          <cell r="G1153">
            <v>0.99180000000000001</v>
          </cell>
          <cell r="H1153">
            <v>0.80669999999999997</v>
          </cell>
        </row>
        <row r="1154">
          <cell r="B1154" t="str">
            <v>Jovan Aych</v>
          </cell>
          <cell r="C1154">
            <v>775</v>
          </cell>
          <cell r="D1154">
            <v>0.77180000000000004</v>
          </cell>
          <cell r="E1154">
            <v>0.71309999999999996</v>
          </cell>
          <cell r="F1154">
            <v>0.84699999999999998</v>
          </cell>
          <cell r="G1154">
            <v>0.95440000000000003</v>
          </cell>
          <cell r="H1154">
            <v>0.79500000000000004</v>
          </cell>
        </row>
        <row r="1155">
          <cell r="B1155" t="str">
            <v>Alicia Messer</v>
          </cell>
          <cell r="C1155">
            <v>774</v>
          </cell>
          <cell r="D1155">
            <v>0.88400000000000001</v>
          </cell>
          <cell r="E1155">
            <v>0.70579999999999998</v>
          </cell>
          <cell r="F1155">
            <v>0.92600000000000005</v>
          </cell>
          <cell r="G1155">
            <v>0.80630000000000002</v>
          </cell>
          <cell r="H1155">
            <v>0.83540000000000003</v>
          </cell>
        </row>
        <row r="1156">
          <cell r="B1156" t="str">
            <v>Moneisha Braziel</v>
          </cell>
          <cell r="C1156">
            <v>763</v>
          </cell>
          <cell r="D1156">
            <v>0.94350000000000001</v>
          </cell>
          <cell r="E1156">
            <v>0.76180000000000003</v>
          </cell>
          <cell r="F1156">
            <v>0.95230000000000004</v>
          </cell>
          <cell r="G1156">
            <v>0.99</v>
          </cell>
          <cell r="H1156">
            <v>0.89629999999999999</v>
          </cell>
        </row>
        <row r="1157">
          <cell r="B1157" t="str">
            <v>Brandon Smalls</v>
          </cell>
          <cell r="C1157">
            <v>758</v>
          </cell>
          <cell r="D1157">
            <v>0.92149999999999999</v>
          </cell>
          <cell r="E1157">
            <v>0.65129999999999999</v>
          </cell>
          <cell r="F1157">
            <v>0.85550000000000004</v>
          </cell>
          <cell r="G1157">
            <v>0.997</v>
          </cell>
          <cell r="H1157">
            <v>0.82820000000000005</v>
          </cell>
        </row>
        <row r="1158">
          <cell r="B1158" t="str">
            <v>Alexis Wilks</v>
          </cell>
          <cell r="C1158">
            <v>752</v>
          </cell>
          <cell r="D1158">
            <v>0.91949999999999998</v>
          </cell>
          <cell r="E1158">
            <v>0.68710000000000004</v>
          </cell>
          <cell r="F1158">
            <v>0.89480000000000004</v>
          </cell>
          <cell r="G1158">
            <v>0.81589999999999996</v>
          </cell>
          <cell r="H1158">
            <v>0.83199999999999996</v>
          </cell>
        </row>
        <row r="1159">
          <cell r="B1159" t="str">
            <v>Janet Pawlak</v>
          </cell>
          <cell r="C1159">
            <v>735</v>
          </cell>
          <cell r="D1159">
            <v>0.93879999999999997</v>
          </cell>
          <cell r="E1159">
            <v>0.67989999999999995</v>
          </cell>
          <cell r="F1159">
            <v>0.871</v>
          </cell>
          <cell r="G1159">
            <v>0.98909999999999998</v>
          </cell>
          <cell r="H1159">
            <v>0.8458</v>
          </cell>
        </row>
        <row r="1160">
          <cell r="B1160" t="str">
            <v>Andrew Collins</v>
          </cell>
          <cell r="C1160">
            <v>726</v>
          </cell>
          <cell r="D1160">
            <v>0.83830000000000005</v>
          </cell>
          <cell r="E1160">
            <v>0.67989999999999995</v>
          </cell>
          <cell r="F1160">
            <v>0.92169999999999996</v>
          </cell>
          <cell r="G1160">
            <v>0.92290000000000005</v>
          </cell>
          <cell r="H1160">
            <v>0.82420000000000004</v>
          </cell>
        </row>
        <row r="1161">
          <cell r="B1161" t="str">
            <v>Jasmine Bennett</v>
          </cell>
          <cell r="C1161">
            <v>719</v>
          </cell>
          <cell r="D1161">
            <v>0.90949999999999998</v>
          </cell>
          <cell r="E1161">
            <v>0.72719999999999996</v>
          </cell>
          <cell r="F1161">
            <v>0.92989999999999995</v>
          </cell>
          <cell r="G1161">
            <v>0.99619999999999997</v>
          </cell>
          <cell r="H1161">
            <v>0.86960000000000004</v>
          </cell>
        </row>
        <row r="1162">
          <cell r="B1162" t="str">
            <v>Tishana Lane</v>
          </cell>
          <cell r="C1162">
            <v>704</v>
          </cell>
          <cell r="D1162">
            <v>0.81669999999999998</v>
          </cell>
          <cell r="E1162">
            <v>0.69059999999999999</v>
          </cell>
          <cell r="F1162">
            <v>0.90439999999999998</v>
          </cell>
          <cell r="G1162">
            <v>0.94950000000000001</v>
          </cell>
          <cell r="H1162">
            <v>0.81850000000000001</v>
          </cell>
        </row>
        <row r="1163">
          <cell r="B1163" t="str">
            <v>ChiVon Turner</v>
          </cell>
          <cell r="C1163">
            <v>702</v>
          </cell>
          <cell r="D1163">
            <v>0.91059999999999997</v>
          </cell>
          <cell r="E1163">
            <v>0.7137</v>
          </cell>
          <cell r="F1163">
            <v>0.90629999999999999</v>
          </cell>
          <cell r="G1163">
            <v>0.99399999999999999</v>
          </cell>
          <cell r="H1163">
            <v>0.85860000000000003</v>
          </cell>
        </row>
        <row r="1164">
          <cell r="B1164" t="str">
            <v>Alliyah Smith</v>
          </cell>
          <cell r="C1164">
            <v>699</v>
          </cell>
          <cell r="D1164">
            <v>0.75880000000000003</v>
          </cell>
          <cell r="E1164">
            <v>0.68159999999999998</v>
          </cell>
          <cell r="F1164">
            <v>0.91159999999999997</v>
          </cell>
          <cell r="G1164">
            <v>0.96060000000000001</v>
          </cell>
          <cell r="H1164">
            <v>0.80169999999999997</v>
          </cell>
        </row>
        <row r="1165">
          <cell r="B1165" t="str">
            <v>Destiny Dunson</v>
          </cell>
          <cell r="C1165">
            <v>698</v>
          </cell>
          <cell r="D1165">
            <v>0.85960000000000003</v>
          </cell>
          <cell r="E1165">
            <v>0.7016</v>
          </cell>
          <cell r="F1165">
            <v>0.81899999999999995</v>
          </cell>
          <cell r="G1165">
            <v>0.99429999999999996</v>
          </cell>
          <cell r="H1165">
            <v>0.8135</v>
          </cell>
        </row>
        <row r="1166">
          <cell r="B1166" t="str">
            <v>Dania Munoz</v>
          </cell>
          <cell r="C1166">
            <v>688</v>
          </cell>
          <cell r="D1166">
            <v>0.40570000000000001</v>
          </cell>
          <cell r="E1166">
            <v>0.65480000000000005</v>
          </cell>
          <cell r="F1166">
            <v>0.81899999999999995</v>
          </cell>
          <cell r="G1166">
            <v>0.98709999999999998</v>
          </cell>
          <cell r="H1166">
            <v>0.66259999999999997</v>
          </cell>
        </row>
        <row r="1167">
          <cell r="B1167" t="str">
            <v>Karon Lesane</v>
          </cell>
          <cell r="C1167">
            <v>681</v>
          </cell>
          <cell r="D1167">
            <v>0.88419999999999999</v>
          </cell>
          <cell r="E1167">
            <v>0.61060000000000003</v>
          </cell>
          <cell r="F1167">
            <v>0.86180000000000001</v>
          </cell>
          <cell r="G1167">
            <v>0.99319999999999997</v>
          </cell>
          <cell r="H1167">
            <v>0.80630000000000002</v>
          </cell>
        </row>
        <row r="1168">
          <cell r="B1168" t="str">
            <v>Delbert Kerr</v>
          </cell>
          <cell r="C1168">
            <v>676</v>
          </cell>
          <cell r="D1168">
            <v>0.83650000000000002</v>
          </cell>
          <cell r="E1168">
            <v>0.65129999999999999</v>
          </cell>
          <cell r="F1168">
            <v>0.75980000000000003</v>
          </cell>
          <cell r="G1168">
            <v>0.96330000000000005</v>
          </cell>
          <cell r="H1168">
            <v>0.77059999999999995</v>
          </cell>
        </row>
        <row r="1169">
          <cell r="B1169" t="str">
            <v>Daud Paul</v>
          </cell>
          <cell r="C1169">
            <v>675</v>
          </cell>
          <cell r="D1169">
            <v>0.77900000000000003</v>
          </cell>
          <cell r="E1169">
            <v>0.68489999999999995</v>
          </cell>
          <cell r="F1169">
            <v>0.93210000000000004</v>
          </cell>
          <cell r="G1169">
            <v>0.91779999999999995</v>
          </cell>
          <cell r="H1169">
            <v>0.81059999999999999</v>
          </cell>
        </row>
        <row r="1170">
          <cell r="B1170" t="str">
            <v>Kathy Crow</v>
          </cell>
          <cell r="C1170">
            <v>663</v>
          </cell>
          <cell r="D1170">
            <v>0.94440000000000002</v>
          </cell>
          <cell r="E1170">
            <v>0.75949999999999995</v>
          </cell>
          <cell r="F1170">
            <v>0.94669999999999999</v>
          </cell>
          <cell r="G1170">
            <v>0.99539999999999995</v>
          </cell>
          <cell r="H1170">
            <v>0.89470000000000005</v>
          </cell>
        </row>
        <row r="1171">
          <cell r="B1171" t="str">
            <v>Carlince Marcelin</v>
          </cell>
          <cell r="C1171">
            <v>663</v>
          </cell>
          <cell r="D1171">
            <v>0.90600000000000003</v>
          </cell>
          <cell r="E1171">
            <v>0.68989999999999996</v>
          </cell>
          <cell r="F1171">
            <v>0.88180000000000003</v>
          </cell>
          <cell r="G1171">
            <v>0.96150000000000002</v>
          </cell>
          <cell r="H1171">
            <v>0.83950000000000002</v>
          </cell>
        </row>
        <row r="1172">
          <cell r="B1172" t="str">
            <v>Tanjanika Canady</v>
          </cell>
          <cell r="C1172">
            <v>663</v>
          </cell>
          <cell r="D1172">
            <v>0.81289999999999996</v>
          </cell>
          <cell r="E1172">
            <v>0.72</v>
          </cell>
          <cell r="F1172">
            <v>0.88170000000000004</v>
          </cell>
          <cell r="G1172">
            <v>0.99019999999999997</v>
          </cell>
          <cell r="H1172">
            <v>0.82340000000000002</v>
          </cell>
        </row>
        <row r="1173">
          <cell r="B1173" t="str">
            <v>Megan Edwards</v>
          </cell>
          <cell r="C1173">
            <v>659</v>
          </cell>
          <cell r="D1173">
            <v>0.85819999999999996</v>
          </cell>
          <cell r="E1173">
            <v>0.64939999999999998</v>
          </cell>
          <cell r="F1173">
            <v>0.88690000000000002</v>
          </cell>
          <cell r="G1173">
            <v>0.99199999999999999</v>
          </cell>
          <cell r="H1173">
            <v>0.81759999999999999</v>
          </cell>
        </row>
        <row r="1174">
          <cell r="B1174" t="str">
            <v>Lara Mayberry</v>
          </cell>
          <cell r="C1174">
            <v>650</v>
          </cell>
          <cell r="D1174">
            <v>0.84130000000000005</v>
          </cell>
          <cell r="E1174">
            <v>0.75929999999999997</v>
          </cell>
          <cell r="F1174">
            <v>0.91839999999999999</v>
          </cell>
          <cell r="G1174">
            <v>0.93779999999999997</v>
          </cell>
          <cell r="H1174">
            <v>0.84950000000000003</v>
          </cell>
        </row>
        <row r="1175">
          <cell r="B1175" t="str">
            <v>Yasmon Kinnerson</v>
          </cell>
          <cell r="C1175">
            <v>646</v>
          </cell>
          <cell r="D1175">
            <v>0.80410000000000004</v>
          </cell>
          <cell r="E1175">
            <v>0.71330000000000005</v>
          </cell>
          <cell r="F1175">
            <v>0.88870000000000005</v>
          </cell>
          <cell r="G1175">
            <v>0.92190000000000005</v>
          </cell>
          <cell r="H1175">
            <v>0.81399999999999995</v>
          </cell>
        </row>
        <row r="1176">
          <cell r="B1176" t="str">
            <v>Temika Santemore</v>
          </cell>
          <cell r="C1176">
            <v>641</v>
          </cell>
          <cell r="D1176">
            <v>0.82640000000000002</v>
          </cell>
          <cell r="E1176">
            <v>0.64459999999999995</v>
          </cell>
          <cell r="F1176">
            <v>0.9103</v>
          </cell>
          <cell r="G1176">
            <v>0.99239999999999995</v>
          </cell>
          <cell r="H1176">
            <v>0.81359999999999999</v>
          </cell>
        </row>
        <row r="1177">
          <cell r="B1177" t="str">
            <v>Jessica Martinez</v>
          </cell>
          <cell r="C1177">
            <v>638</v>
          </cell>
          <cell r="D1177">
            <v>0.43180000000000002</v>
          </cell>
          <cell r="E1177">
            <v>0.66820000000000002</v>
          </cell>
          <cell r="F1177">
            <v>0.9</v>
          </cell>
          <cell r="G1177">
            <v>0.99509999999999998</v>
          </cell>
          <cell r="H1177">
            <v>0.69950000000000001</v>
          </cell>
        </row>
        <row r="1178">
          <cell r="B1178" t="str">
            <v>Tierra Wiley</v>
          </cell>
          <cell r="C1178">
            <v>635</v>
          </cell>
          <cell r="D1178">
            <v>0.94479999999999997</v>
          </cell>
          <cell r="E1178">
            <v>0.74419999999999997</v>
          </cell>
          <cell r="F1178">
            <v>0.93200000000000005</v>
          </cell>
          <cell r="G1178">
            <v>0.95950000000000002</v>
          </cell>
          <cell r="H1178">
            <v>0.88229999999999997</v>
          </cell>
        </row>
        <row r="1179">
          <cell r="B1179" t="str">
            <v>Tailer Guyton</v>
          </cell>
          <cell r="C1179">
            <v>635</v>
          </cell>
          <cell r="D1179">
            <v>0.90100000000000002</v>
          </cell>
          <cell r="E1179">
            <v>0.68189999999999995</v>
          </cell>
          <cell r="F1179">
            <v>0.86680000000000001</v>
          </cell>
          <cell r="G1179">
            <v>0.99119999999999997</v>
          </cell>
          <cell r="H1179">
            <v>0.83399999999999996</v>
          </cell>
        </row>
        <row r="1180">
          <cell r="B1180" t="str">
            <v>Sherrelle Gardner</v>
          </cell>
          <cell r="C1180">
            <v>634</v>
          </cell>
          <cell r="D1180">
            <v>0.91300000000000003</v>
          </cell>
          <cell r="E1180">
            <v>0.67549999999999999</v>
          </cell>
          <cell r="F1180">
            <v>0.87790000000000001</v>
          </cell>
          <cell r="G1180">
            <v>0.99480000000000002</v>
          </cell>
          <cell r="H1180">
            <v>0.83940000000000003</v>
          </cell>
        </row>
        <row r="1181">
          <cell r="B1181" t="str">
            <v>Cheniqua Williams</v>
          </cell>
          <cell r="C1181">
            <v>633</v>
          </cell>
          <cell r="D1181">
            <v>0.79249999999999998</v>
          </cell>
          <cell r="E1181">
            <v>0.74660000000000004</v>
          </cell>
          <cell r="F1181">
            <v>0.91490000000000005</v>
          </cell>
          <cell r="G1181">
            <v>0.97219999999999995</v>
          </cell>
          <cell r="H1181">
            <v>0.83340000000000003</v>
          </cell>
        </row>
        <row r="1182">
          <cell r="B1182" t="str">
            <v>Lucy Kabba</v>
          </cell>
          <cell r="C1182">
            <v>620</v>
          </cell>
          <cell r="D1182">
            <v>0.86150000000000004</v>
          </cell>
          <cell r="E1182">
            <v>0.66549999999999998</v>
          </cell>
          <cell r="F1182">
            <v>0.91910000000000003</v>
          </cell>
          <cell r="G1182">
            <v>0.98919999999999997</v>
          </cell>
          <cell r="H1182">
            <v>0.83279999999999998</v>
          </cell>
        </row>
        <row r="1183">
          <cell r="B1183" t="str">
            <v>Cierra Little</v>
          </cell>
          <cell r="C1183">
            <v>612</v>
          </cell>
          <cell r="D1183">
            <v>0.9</v>
          </cell>
          <cell r="E1183">
            <v>0.67730000000000001</v>
          </cell>
          <cell r="F1183">
            <v>0.89200000000000002</v>
          </cell>
          <cell r="G1183">
            <v>0.99790000000000001</v>
          </cell>
          <cell r="H1183">
            <v>0.84060000000000001</v>
          </cell>
        </row>
        <row r="1184">
          <cell r="B1184" t="str">
            <v>Vanassa Jarvis</v>
          </cell>
          <cell r="C1184">
            <v>611</v>
          </cell>
          <cell r="D1184">
            <v>0.96430000000000005</v>
          </cell>
          <cell r="E1184">
            <v>0.70840000000000003</v>
          </cell>
          <cell r="F1184">
            <v>0.91300000000000003</v>
          </cell>
          <cell r="G1184">
            <v>0.99280000000000002</v>
          </cell>
          <cell r="H1184">
            <v>0.875</v>
          </cell>
        </row>
        <row r="1185">
          <cell r="B1185" t="str">
            <v>Jakiyah Lawrence</v>
          </cell>
          <cell r="C1185">
            <v>604</v>
          </cell>
          <cell r="D1185">
            <v>0.89470000000000005</v>
          </cell>
          <cell r="E1185">
            <v>0.73099999999999998</v>
          </cell>
          <cell r="F1185">
            <v>0.86970000000000003</v>
          </cell>
          <cell r="G1185">
            <v>0.94259999999999999</v>
          </cell>
          <cell r="H1185">
            <v>0.84289999999999998</v>
          </cell>
        </row>
        <row r="1186">
          <cell r="B1186" t="str">
            <v>Cassi Deal</v>
          </cell>
          <cell r="C1186">
            <v>601</v>
          </cell>
          <cell r="D1186">
            <v>0.90110000000000001</v>
          </cell>
          <cell r="E1186">
            <v>0.6593</v>
          </cell>
          <cell r="F1186">
            <v>0.93200000000000005</v>
          </cell>
          <cell r="G1186">
            <v>0.99960000000000004</v>
          </cell>
          <cell r="H1186">
            <v>0.84770000000000001</v>
          </cell>
        </row>
        <row r="1187">
          <cell r="B1187" t="str">
            <v>Tamela Thomas</v>
          </cell>
          <cell r="C1187">
            <v>594</v>
          </cell>
          <cell r="D1187">
            <v>0.79420000000000002</v>
          </cell>
          <cell r="E1187">
            <v>0.69299999999999995</v>
          </cell>
          <cell r="F1187">
            <v>0.87339999999999995</v>
          </cell>
          <cell r="G1187">
            <v>0.90229999999999999</v>
          </cell>
          <cell r="H1187">
            <v>0.7984</v>
          </cell>
        </row>
        <row r="1188">
          <cell r="B1188" t="str">
            <v>Kadeshia Jackson</v>
          </cell>
          <cell r="C1188">
            <v>593</v>
          </cell>
          <cell r="D1188">
            <v>0.82709999999999995</v>
          </cell>
          <cell r="E1188">
            <v>0.6542</v>
          </cell>
          <cell r="F1188">
            <v>0.84019999999999995</v>
          </cell>
          <cell r="G1188">
            <v>0.9919</v>
          </cell>
          <cell r="H1188">
            <v>0.79559999999999997</v>
          </cell>
        </row>
        <row r="1189">
          <cell r="B1189" t="str">
            <v>Kathy Ehmke</v>
          </cell>
          <cell r="C1189">
            <v>593</v>
          </cell>
          <cell r="D1189">
            <v>0.78110000000000002</v>
          </cell>
          <cell r="E1189">
            <v>0.69830000000000003</v>
          </cell>
          <cell r="F1189">
            <v>0.79910000000000003</v>
          </cell>
          <cell r="G1189">
            <v>0.99480000000000002</v>
          </cell>
          <cell r="H1189">
            <v>0.78300000000000003</v>
          </cell>
        </row>
        <row r="1190">
          <cell r="B1190" t="str">
            <v>Ernest Shannon</v>
          </cell>
          <cell r="C1190">
            <v>593</v>
          </cell>
          <cell r="D1190">
            <v>0.80059999999999998</v>
          </cell>
          <cell r="E1190">
            <v>0.64880000000000004</v>
          </cell>
          <cell r="F1190">
            <v>0.84860000000000002</v>
          </cell>
          <cell r="G1190">
            <v>0.99619999999999997</v>
          </cell>
          <cell r="H1190">
            <v>0.78900000000000003</v>
          </cell>
        </row>
        <row r="1191">
          <cell r="B1191" t="str">
            <v>Owen Conboy</v>
          </cell>
          <cell r="C1191">
            <v>592</v>
          </cell>
          <cell r="D1191">
            <v>0.83550000000000002</v>
          </cell>
          <cell r="E1191">
            <v>0.60840000000000005</v>
          </cell>
          <cell r="F1191">
            <v>0.75239999999999996</v>
          </cell>
          <cell r="G1191">
            <v>0.95420000000000005</v>
          </cell>
          <cell r="H1191">
            <v>0.75429999999999997</v>
          </cell>
        </row>
        <row r="1192">
          <cell r="B1192" t="str">
            <v>Sumayyah Bland</v>
          </cell>
          <cell r="C1192">
            <v>591</v>
          </cell>
          <cell r="D1192">
            <v>0.7722</v>
          </cell>
          <cell r="E1192">
            <v>0.69140000000000001</v>
          </cell>
          <cell r="F1192">
            <v>0.85560000000000003</v>
          </cell>
          <cell r="G1192">
            <v>0.92279999999999995</v>
          </cell>
          <cell r="H1192">
            <v>0.78800000000000003</v>
          </cell>
        </row>
        <row r="1193">
          <cell r="B1193" t="str">
            <v>Joseph Williamson</v>
          </cell>
          <cell r="C1193">
            <v>588</v>
          </cell>
          <cell r="D1193">
            <v>0.81930000000000003</v>
          </cell>
          <cell r="E1193">
            <v>0.66949999999999998</v>
          </cell>
          <cell r="F1193">
            <v>0.87439999999999996</v>
          </cell>
          <cell r="G1193">
            <v>0.96679999999999999</v>
          </cell>
          <cell r="H1193">
            <v>0.80569999999999997</v>
          </cell>
        </row>
        <row r="1194">
          <cell r="B1194" t="str">
            <v>Casuela Brooks</v>
          </cell>
          <cell r="C1194">
            <v>582</v>
          </cell>
          <cell r="D1194">
            <v>0.85970000000000002</v>
          </cell>
          <cell r="E1194">
            <v>0.64439999999999997</v>
          </cell>
          <cell r="F1194">
            <v>0.86960000000000004</v>
          </cell>
          <cell r="G1194">
            <v>0.93500000000000005</v>
          </cell>
          <cell r="H1194">
            <v>0.80559999999999998</v>
          </cell>
        </row>
        <row r="1195">
          <cell r="B1195" t="str">
            <v>Ashleigh Shaw</v>
          </cell>
          <cell r="C1195">
            <v>576</v>
          </cell>
          <cell r="D1195">
            <v>0.8014</v>
          </cell>
          <cell r="E1195">
            <v>0.69910000000000005</v>
          </cell>
          <cell r="F1195">
            <v>0.89200000000000002</v>
          </cell>
          <cell r="G1195">
            <v>0.95750000000000002</v>
          </cell>
          <cell r="H1195">
            <v>0.8135</v>
          </cell>
        </row>
        <row r="1196">
          <cell r="B1196" t="str">
            <v>LaNaija Boone</v>
          </cell>
          <cell r="C1196">
            <v>562</v>
          </cell>
          <cell r="D1196">
            <v>0.91900000000000004</v>
          </cell>
          <cell r="E1196">
            <v>0.69099999999999995</v>
          </cell>
          <cell r="F1196">
            <v>0.878</v>
          </cell>
          <cell r="G1196">
            <v>0.93520000000000003</v>
          </cell>
          <cell r="H1196">
            <v>0.83989999999999998</v>
          </cell>
        </row>
        <row r="1197">
          <cell r="B1197" t="str">
            <v>Deanna James</v>
          </cell>
          <cell r="C1197">
            <v>559</v>
          </cell>
          <cell r="D1197">
            <v>0.91180000000000005</v>
          </cell>
          <cell r="E1197">
            <v>0.65880000000000005</v>
          </cell>
          <cell r="F1197">
            <v>0.9264</v>
          </cell>
          <cell r="G1197">
            <v>0.99260000000000004</v>
          </cell>
          <cell r="H1197">
            <v>0.84830000000000005</v>
          </cell>
        </row>
        <row r="1198">
          <cell r="B1198" t="str">
            <v>Mickles Yancy</v>
          </cell>
          <cell r="C1198">
            <v>555</v>
          </cell>
          <cell r="D1198">
            <v>0.80700000000000005</v>
          </cell>
          <cell r="E1198">
            <v>0.65980000000000005</v>
          </cell>
          <cell r="F1198">
            <v>0.84470000000000001</v>
          </cell>
          <cell r="G1198">
            <v>0.98019999999999996</v>
          </cell>
          <cell r="H1198">
            <v>0.79149999999999998</v>
          </cell>
        </row>
        <row r="1199">
          <cell r="B1199" t="str">
            <v>Maria Martinez</v>
          </cell>
          <cell r="C1199">
            <v>552</v>
          </cell>
          <cell r="D1199">
            <v>0.93620000000000003</v>
          </cell>
          <cell r="E1199">
            <v>0.75429999999999997</v>
          </cell>
          <cell r="F1199">
            <v>0.93240000000000001</v>
          </cell>
          <cell r="G1199">
            <v>0.83409999999999995</v>
          </cell>
          <cell r="H1199">
            <v>0.87029999999999996</v>
          </cell>
        </row>
        <row r="1200">
          <cell r="B1200" t="str">
            <v>JusSweeta Baker</v>
          </cell>
          <cell r="C1200">
            <v>551</v>
          </cell>
          <cell r="D1200">
            <v>0.88260000000000005</v>
          </cell>
          <cell r="E1200">
            <v>0.73719999999999997</v>
          </cell>
          <cell r="F1200">
            <v>0.86980000000000002</v>
          </cell>
          <cell r="G1200">
            <v>0.99609999999999999</v>
          </cell>
          <cell r="H1200">
            <v>0.84650000000000003</v>
          </cell>
        </row>
        <row r="1201">
          <cell r="B1201" t="str">
            <v>Beverly Ross</v>
          </cell>
          <cell r="C1201">
            <v>545</v>
          </cell>
          <cell r="D1201">
            <v>0.87860000000000005</v>
          </cell>
          <cell r="E1201">
            <v>0.71009999999999995</v>
          </cell>
          <cell r="F1201">
            <v>0.87949999999999995</v>
          </cell>
          <cell r="G1201">
            <v>0.87380000000000002</v>
          </cell>
          <cell r="H1201">
            <v>0.82779999999999998</v>
          </cell>
        </row>
        <row r="1202">
          <cell r="B1202" t="str">
            <v>Ivalu Miranda</v>
          </cell>
          <cell r="C1202">
            <v>545</v>
          </cell>
          <cell r="D1202">
            <v>0.80630000000000002</v>
          </cell>
          <cell r="E1202">
            <v>0.72840000000000005</v>
          </cell>
          <cell r="F1202">
            <v>0.91159999999999997</v>
          </cell>
          <cell r="G1202">
            <v>0.87429999999999997</v>
          </cell>
          <cell r="H1202">
            <v>0.82130000000000003</v>
          </cell>
        </row>
        <row r="1203">
          <cell r="B1203" t="str">
            <v>Nicole Jaime</v>
          </cell>
          <cell r="C1203">
            <v>540</v>
          </cell>
          <cell r="D1203">
            <v>0.74809999999999999</v>
          </cell>
          <cell r="E1203">
            <v>0.72529999999999994</v>
          </cell>
          <cell r="F1203">
            <v>0.81589999999999996</v>
          </cell>
          <cell r="G1203">
            <v>0.79949999999999999</v>
          </cell>
          <cell r="H1203">
            <v>0.76670000000000005</v>
          </cell>
        </row>
        <row r="1204">
          <cell r="B1204" t="str">
            <v>Pamela Mitchell</v>
          </cell>
          <cell r="C1204">
            <v>538</v>
          </cell>
          <cell r="D1204">
            <v>0.75309999999999999</v>
          </cell>
          <cell r="E1204">
            <v>0.69130000000000003</v>
          </cell>
          <cell r="F1204">
            <v>0.89239999999999997</v>
          </cell>
          <cell r="G1204">
            <v>0.93479999999999996</v>
          </cell>
          <cell r="H1204">
            <v>0.79449999999999998</v>
          </cell>
        </row>
        <row r="1205">
          <cell r="B1205" t="str">
            <v>Scott Dunn</v>
          </cell>
          <cell r="C1205">
            <v>536</v>
          </cell>
          <cell r="D1205">
            <v>0.9012</v>
          </cell>
          <cell r="E1205">
            <v>0.78</v>
          </cell>
          <cell r="F1205">
            <v>0.95740000000000003</v>
          </cell>
          <cell r="G1205">
            <v>0.97399999999999998</v>
          </cell>
          <cell r="H1205">
            <v>0.88900000000000001</v>
          </cell>
        </row>
        <row r="1206">
          <cell r="B1206" t="str">
            <v>Darnia Sumuel</v>
          </cell>
          <cell r="C1206">
            <v>534</v>
          </cell>
          <cell r="D1206">
            <v>0.82169999999999999</v>
          </cell>
          <cell r="E1206">
            <v>0.65939999999999999</v>
          </cell>
          <cell r="F1206">
            <v>0.8115</v>
          </cell>
          <cell r="G1206">
            <v>0.9153</v>
          </cell>
          <cell r="H1206">
            <v>0.77929999999999999</v>
          </cell>
        </row>
        <row r="1207">
          <cell r="B1207" t="str">
            <v>Rocio Martinez</v>
          </cell>
          <cell r="C1207">
            <v>531</v>
          </cell>
          <cell r="D1207">
            <v>0.35210000000000002</v>
          </cell>
          <cell r="E1207">
            <v>0.66279999999999994</v>
          </cell>
          <cell r="F1207">
            <v>0.75639999999999996</v>
          </cell>
          <cell r="G1207">
            <v>0.6069</v>
          </cell>
          <cell r="H1207">
            <v>0.59209999999999996</v>
          </cell>
        </row>
        <row r="1208">
          <cell r="B1208" t="str">
            <v>Arinese Chavirs</v>
          </cell>
          <cell r="C1208">
            <v>530</v>
          </cell>
          <cell r="D1208">
            <v>0.91039999999999999</v>
          </cell>
          <cell r="E1208">
            <v>0.68759999999999999</v>
          </cell>
          <cell r="F1208">
            <v>0.82940000000000003</v>
          </cell>
          <cell r="G1208">
            <v>0.98350000000000004</v>
          </cell>
          <cell r="H1208">
            <v>0.8266</v>
          </cell>
        </row>
        <row r="1209">
          <cell r="B1209" t="str">
            <v>Amanda Drinkwine</v>
          </cell>
          <cell r="C1209">
            <v>528</v>
          </cell>
          <cell r="D1209">
            <v>0.88480000000000003</v>
          </cell>
          <cell r="E1209">
            <v>0.71640000000000004</v>
          </cell>
          <cell r="F1209">
            <v>0.9173</v>
          </cell>
          <cell r="G1209">
            <v>0.99050000000000005</v>
          </cell>
          <cell r="H1209">
            <v>0.85460000000000003</v>
          </cell>
        </row>
        <row r="1210">
          <cell r="B1210" t="str">
            <v>Zion Orange</v>
          </cell>
          <cell r="C1210">
            <v>519</v>
          </cell>
          <cell r="D1210">
            <v>0.93920000000000003</v>
          </cell>
          <cell r="E1210">
            <v>0.74639999999999995</v>
          </cell>
          <cell r="F1210">
            <v>0.95450000000000002</v>
          </cell>
          <cell r="G1210">
            <v>0.97929999999999995</v>
          </cell>
          <cell r="H1210">
            <v>0.89</v>
          </cell>
        </row>
        <row r="1211">
          <cell r="B1211" t="str">
            <v>Jazzamine Scoggin</v>
          </cell>
          <cell r="C1211">
            <v>513</v>
          </cell>
          <cell r="E1211">
            <v>0.78620000000000001</v>
          </cell>
          <cell r="F1211">
            <v>0.92</v>
          </cell>
          <cell r="G1211">
            <v>0.99260000000000004</v>
          </cell>
        </row>
        <row r="1212">
          <cell r="B1212" t="str">
            <v>Kaynesha Johnson</v>
          </cell>
          <cell r="C1212">
            <v>511</v>
          </cell>
          <cell r="D1212">
            <v>0.78990000000000005</v>
          </cell>
          <cell r="E1212">
            <v>0.71199999999999997</v>
          </cell>
          <cell r="F1212">
            <v>0.88460000000000005</v>
          </cell>
          <cell r="G1212">
            <v>0.91549999999999998</v>
          </cell>
          <cell r="H1212">
            <v>0.8075</v>
          </cell>
        </row>
        <row r="1213">
          <cell r="B1213" t="str">
            <v>Kacey Pineda</v>
          </cell>
          <cell r="C1213">
            <v>507</v>
          </cell>
          <cell r="D1213">
            <v>0.82869999999999999</v>
          </cell>
          <cell r="E1213">
            <v>0.68120000000000003</v>
          </cell>
          <cell r="F1213">
            <v>0.84850000000000003</v>
          </cell>
          <cell r="G1213">
            <v>0.96489999999999998</v>
          </cell>
          <cell r="H1213">
            <v>0.80400000000000005</v>
          </cell>
        </row>
        <row r="1214">
          <cell r="B1214" t="str">
            <v>Nicholas Chew</v>
          </cell>
          <cell r="C1214">
            <v>504</v>
          </cell>
          <cell r="D1214">
            <v>0.89629999999999999</v>
          </cell>
          <cell r="E1214">
            <v>0.73060000000000003</v>
          </cell>
          <cell r="F1214">
            <v>0.90869999999999995</v>
          </cell>
          <cell r="G1214">
            <v>0.95430000000000004</v>
          </cell>
          <cell r="H1214">
            <v>0.85609999999999997</v>
          </cell>
        </row>
        <row r="1215">
          <cell r="B1215" t="str">
            <v>Catonya Barnes</v>
          </cell>
          <cell r="C1215">
            <v>502</v>
          </cell>
          <cell r="D1215">
            <v>0.94040000000000001</v>
          </cell>
          <cell r="E1215">
            <v>0.74339999999999995</v>
          </cell>
          <cell r="F1215">
            <v>0.95479999999999998</v>
          </cell>
          <cell r="G1215">
            <v>0.92589999999999995</v>
          </cell>
          <cell r="H1215">
            <v>0.8841</v>
          </cell>
        </row>
        <row r="1216">
          <cell r="B1216" t="str">
            <v>Teanna Mcfield</v>
          </cell>
          <cell r="C1216">
            <v>502</v>
          </cell>
          <cell r="D1216">
            <v>0.74180000000000001</v>
          </cell>
          <cell r="E1216">
            <v>0.56840000000000002</v>
          </cell>
          <cell r="F1216">
            <v>0.8962</v>
          </cell>
          <cell r="G1216">
            <v>0.9929</v>
          </cell>
          <cell r="H1216">
            <v>0.76119999999999999</v>
          </cell>
        </row>
        <row r="1217">
          <cell r="B1217" t="str">
            <v>Brianna Johnson</v>
          </cell>
          <cell r="C1217">
            <v>499</v>
          </cell>
          <cell r="D1217">
            <v>0.8145</v>
          </cell>
          <cell r="E1217">
            <v>0.66890000000000005</v>
          </cell>
          <cell r="F1217">
            <v>0.86639999999999995</v>
          </cell>
          <cell r="G1217">
            <v>0.9869</v>
          </cell>
          <cell r="H1217">
            <v>0.80359999999999998</v>
          </cell>
        </row>
        <row r="1218">
          <cell r="B1218" t="str">
            <v>Ronshiqa Stamps</v>
          </cell>
          <cell r="C1218">
            <v>498</v>
          </cell>
          <cell r="D1218">
            <v>0.91949999999999998</v>
          </cell>
          <cell r="E1218">
            <v>0.623</v>
          </cell>
          <cell r="F1218">
            <v>0.83069999999999999</v>
          </cell>
          <cell r="G1218">
            <v>0.99529999999999996</v>
          </cell>
          <cell r="H1218">
            <v>0.8115</v>
          </cell>
        </row>
        <row r="1219">
          <cell r="B1219" t="str">
            <v>Jamilya Peoples</v>
          </cell>
          <cell r="C1219">
            <v>498</v>
          </cell>
          <cell r="D1219">
            <v>0.87549999999999994</v>
          </cell>
          <cell r="E1219">
            <v>0.70820000000000005</v>
          </cell>
          <cell r="F1219">
            <v>0.86770000000000003</v>
          </cell>
          <cell r="G1219">
            <v>0.99219999999999997</v>
          </cell>
          <cell r="H1219">
            <v>0.83460000000000001</v>
          </cell>
        </row>
        <row r="1220">
          <cell r="B1220" t="str">
            <v>Ashley Sadler</v>
          </cell>
          <cell r="C1220">
            <v>498</v>
          </cell>
          <cell r="D1220">
            <v>0.91500000000000004</v>
          </cell>
          <cell r="E1220">
            <v>0.77439999999999998</v>
          </cell>
          <cell r="F1220">
            <v>0.92320000000000002</v>
          </cell>
          <cell r="G1220">
            <v>0.90980000000000005</v>
          </cell>
          <cell r="H1220">
            <v>0.87480000000000002</v>
          </cell>
        </row>
        <row r="1221">
          <cell r="B1221" t="str">
            <v>Roberta Skaggs</v>
          </cell>
          <cell r="C1221">
            <v>498</v>
          </cell>
          <cell r="D1221">
            <v>0.90510000000000002</v>
          </cell>
          <cell r="E1221">
            <v>0.66549999999999998</v>
          </cell>
          <cell r="F1221">
            <v>0.80430000000000001</v>
          </cell>
          <cell r="G1221">
            <v>0.98350000000000004</v>
          </cell>
          <cell r="H1221">
            <v>0.81079999999999997</v>
          </cell>
        </row>
        <row r="1222">
          <cell r="B1222" t="str">
            <v>Sh'Nautica Faith Michell</v>
          </cell>
          <cell r="C1222">
            <v>495</v>
          </cell>
          <cell r="D1222">
            <v>0.88619999999999999</v>
          </cell>
          <cell r="E1222">
            <v>0.68569999999999998</v>
          </cell>
          <cell r="F1222">
            <v>0.9</v>
          </cell>
          <cell r="G1222">
            <v>0.98599999999999999</v>
          </cell>
          <cell r="H1222">
            <v>0.84019999999999995</v>
          </cell>
        </row>
        <row r="1223">
          <cell r="B1223" t="str">
            <v>Diedra Grace</v>
          </cell>
          <cell r="C1223">
            <v>493</v>
          </cell>
          <cell r="D1223">
            <v>0.9042</v>
          </cell>
          <cell r="E1223">
            <v>0.7591</v>
          </cell>
          <cell r="F1223">
            <v>0.9214</v>
          </cell>
          <cell r="G1223">
            <v>0.86519999999999997</v>
          </cell>
          <cell r="H1223">
            <v>0.8619</v>
          </cell>
        </row>
        <row r="1224">
          <cell r="B1224" t="str">
            <v>Wiley Hudson</v>
          </cell>
          <cell r="C1224">
            <v>493</v>
          </cell>
          <cell r="D1224">
            <v>0.78169999999999995</v>
          </cell>
          <cell r="E1224">
            <v>0.76790000000000003</v>
          </cell>
          <cell r="F1224">
            <v>0.89259999999999995</v>
          </cell>
          <cell r="G1224">
            <v>0.97009999999999996</v>
          </cell>
          <cell r="H1224">
            <v>0.82969999999999999</v>
          </cell>
        </row>
        <row r="1225">
          <cell r="B1225" t="str">
            <v>LaVonia Bains</v>
          </cell>
          <cell r="C1225">
            <v>491</v>
          </cell>
          <cell r="D1225">
            <v>0.9163</v>
          </cell>
          <cell r="E1225">
            <v>0.73150000000000004</v>
          </cell>
          <cell r="F1225">
            <v>0.90100000000000002</v>
          </cell>
          <cell r="G1225">
            <v>0.84189999999999998</v>
          </cell>
          <cell r="H1225">
            <v>0.8488</v>
          </cell>
        </row>
        <row r="1226">
          <cell r="B1226" t="str">
            <v>Erin Underwood</v>
          </cell>
          <cell r="C1226">
            <v>487</v>
          </cell>
          <cell r="D1226">
            <v>0.94369999999999998</v>
          </cell>
          <cell r="E1226">
            <v>0.73740000000000006</v>
          </cell>
          <cell r="F1226">
            <v>0.84719999999999995</v>
          </cell>
          <cell r="G1226">
            <v>0.95799999999999996</v>
          </cell>
          <cell r="H1226">
            <v>0.85419999999999996</v>
          </cell>
        </row>
        <row r="1227">
          <cell r="B1227" t="str">
            <v>Jennifer Mcclain</v>
          </cell>
          <cell r="C1227">
            <v>487</v>
          </cell>
          <cell r="D1227">
            <v>0.87909999999999999</v>
          </cell>
          <cell r="E1227">
            <v>0.70389999999999997</v>
          </cell>
          <cell r="F1227">
            <v>0.96030000000000004</v>
          </cell>
          <cell r="G1227">
            <v>1</v>
          </cell>
          <cell r="H1227">
            <v>0.86299999999999999</v>
          </cell>
        </row>
        <row r="1228">
          <cell r="B1228" t="str">
            <v>Keita Armour</v>
          </cell>
          <cell r="C1228">
            <v>487</v>
          </cell>
          <cell r="D1228">
            <v>0.85299999999999998</v>
          </cell>
          <cell r="E1228">
            <v>0.68640000000000001</v>
          </cell>
          <cell r="F1228">
            <v>0.90269999999999995</v>
          </cell>
          <cell r="G1228">
            <v>0.90400000000000003</v>
          </cell>
          <cell r="H1228">
            <v>0.82299999999999995</v>
          </cell>
        </row>
        <row r="1229">
          <cell r="B1229" t="str">
            <v>TraVaurice Walker</v>
          </cell>
          <cell r="C1229">
            <v>487</v>
          </cell>
          <cell r="D1229">
            <v>0.81189999999999996</v>
          </cell>
          <cell r="E1229">
            <v>0.71060000000000001</v>
          </cell>
          <cell r="F1229">
            <v>0.84950000000000003</v>
          </cell>
          <cell r="G1229">
            <v>0.77600000000000002</v>
          </cell>
          <cell r="H1229">
            <v>0.78920000000000001</v>
          </cell>
        </row>
        <row r="1230">
          <cell r="B1230" t="str">
            <v>Stephanie Hobbs</v>
          </cell>
          <cell r="C1230">
            <v>478</v>
          </cell>
          <cell r="D1230">
            <v>0.87139999999999995</v>
          </cell>
          <cell r="E1230">
            <v>0.63039999999999996</v>
          </cell>
          <cell r="F1230">
            <v>0.88439999999999996</v>
          </cell>
          <cell r="G1230">
            <v>0.98809999999999998</v>
          </cell>
          <cell r="H1230">
            <v>0.81469999999999998</v>
          </cell>
        </row>
        <row r="1231">
          <cell r="B1231" t="str">
            <v>Glenys Moran</v>
          </cell>
          <cell r="C1231">
            <v>477</v>
          </cell>
          <cell r="D1231">
            <v>0.89990000000000003</v>
          </cell>
          <cell r="E1231">
            <v>0.72199999999999998</v>
          </cell>
          <cell r="F1231">
            <v>0.90900000000000003</v>
          </cell>
          <cell r="G1231">
            <v>0.96779999999999999</v>
          </cell>
          <cell r="H1231">
            <v>0.85609999999999997</v>
          </cell>
        </row>
        <row r="1232">
          <cell r="B1232" t="str">
            <v>Lajohnda Grogan</v>
          </cell>
          <cell r="C1232">
            <v>476</v>
          </cell>
          <cell r="D1232">
            <v>0.77910000000000001</v>
          </cell>
          <cell r="E1232">
            <v>0.66559999999999997</v>
          </cell>
          <cell r="F1232">
            <v>0.90449999999999997</v>
          </cell>
          <cell r="G1232">
            <v>0.99250000000000005</v>
          </cell>
          <cell r="H1232">
            <v>0.80400000000000005</v>
          </cell>
        </row>
        <row r="1233">
          <cell r="B1233" t="str">
            <v>Anthony Hurst</v>
          </cell>
          <cell r="C1233">
            <v>473</v>
          </cell>
          <cell r="D1233">
            <v>0.96599999999999997</v>
          </cell>
          <cell r="E1233">
            <v>0.67649999999999999</v>
          </cell>
          <cell r="F1233">
            <v>0.95</v>
          </cell>
          <cell r="G1233">
            <v>0.99119999999999997</v>
          </cell>
          <cell r="H1233">
            <v>0.87690000000000001</v>
          </cell>
        </row>
        <row r="1234">
          <cell r="B1234" t="str">
            <v>Jim Parks</v>
          </cell>
          <cell r="C1234">
            <v>471</v>
          </cell>
          <cell r="D1234">
            <v>0.71789999999999998</v>
          </cell>
          <cell r="E1234">
            <v>0.68159999999999998</v>
          </cell>
          <cell r="F1234">
            <v>0.88660000000000005</v>
          </cell>
          <cell r="G1234">
            <v>0.97870000000000001</v>
          </cell>
          <cell r="H1234">
            <v>0.78369999999999995</v>
          </cell>
        </row>
        <row r="1235">
          <cell r="B1235" t="str">
            <v>Tyjah Barrett</v>
          </cell>
          <cell r="C1235">
            <v>469</v>
          </cell>
          <cell r="D1235">
            <v>0.9143</v>
          </cell>
          <cell r="E1235">
            <v>0.73029999999999995</v>
          </cell>
          <cell r="F1235">
            <v>0.87070000000000003</v>
          </cell>
          <cell r="G1235">
            <v>0.93820000000000003</v>
          </cell>
          <cell r="H1235">
            <v>0.84840000000000004</v>
          </cell>
        </row>
        <row r="1236">
          <cell r="B1236" t="str">
            <v>Tierra Cyprien</v>
          </cell>
          <cell r="C1236">
            <v>469</v>
          </cell>
          <cell r="D1236">
            <v>0.88829999999999998</v>
          </cell>
          <cell r="E1236">
            <v>0.61699999999999999</v>
          </cell>
          <cell r="F1236">
            <v>0.89980000000000004</v>
          </cell>
          <cell r="G1236">
            <v>0.99239999999999995</v>
          </cell>
          <cell r="H1236">
            <v>0.82079999999999997</v>
          </cell>
        </row>
        <row r="1237">
          <cell r="B1237" t="str">
            <v>Monique Watts Wright</v>
          </cell>
          <cell r="C1237">
            <v>468</v>
          </cell>
          <cell r="D1237">
            <v>0.85</v>
          </cell>
          <cell r="E1237">
            <v>0.7087</v>
          </cell>
          <cell r="F1237">
            <v>0.91510000000000002</v>
          </cell>
          <cell r="G1237">
            <v>0.89929999999999999</v>
          </cell>
          <cell r="H1237">
            <v>0.83209999999999995</v>
          </cell>
        </row>
        <row r="1238">
          <cell r="B1238" t="str">
            <v>Rosa Watson</v>
          </cell>
          <cell r="C1238">
            <v>467</v>
          </cell>
          <cell r="D1238">
            <v>0.93530000000000002</v>
          </cell>
          <cell r="E1238">
            <v>0.68369999999999997</v>
          </cell>
          <cell r="F1238">
            <v>0.95840000000000003</v>
          </cell>
          <cell r="G1238">
            <v>0.98619999999999997</v>
          </cell>
          <cell r="H1238">
            <v>0.87190000000000001</v>
          </cell>
        </row>
        <row r="1239">
          <cell r="B1239" t="str">
            <v>Patti Yager</v>
          </cell>
          <cell r="C1239">
            <v>463</v>
          </cell>
          <cell r="D1239">
            <v>0.96260000000000001</v>
          </cell>
          <cell r="E1239">
            <v>0.7913</v>
          </cell>
          <cell r="F1239">
            <v>0.91359999999999997</v>
          </cell>
          <cell r="G1239">
            <v>0.87070000000000003</v>
          </cell>
          <cell r="H1239">
            <v>0.88729999999999998</v>
          </cell>
        </row>
        <row r="1240">
          <cell r="B1240" t="str">
            <v>Rebecca Merritt</v>
          </cell>
          <cell r="C1240">
            <v>463</v>
          </cell>
          <cell r="D1240">
            <v>0.755</v>
          </cell>
          <cell r="E1240">
            <v>0.67949999999999999</v>
          </cell>
          <cell r="F1240">
            <v>0.84330000000000005</v>
          </cell>
          <cell r="G1240">
            <v>0.9506</v>
          </cell>
          <cell r="H1240">
            <v>0.77839999999999998</v>
          </cell>
        </row>
        <row r="1241">
          <cell r="B1241" t="str">
            <v>Tyreial Marshall</v>
          </cell>
          <cell r="C1241">
            <v>461</v>
          </cell>
          <cell r="D1241">
            <v>0.89580000000000004</v>
          </cell>
          <cell r="E1241">
            <v>0.74819999999999998</v>
          </cell>
          <cell r="F1241">
            <v>0.84699999999999998</v>
          </cell>
          <cell r="G1241">
            <v>0.99460000000000004</v>
          </cell>
          <cell r="H1241">
            <v>0.84670000000000001</v>
          </cell>
        </row>
        <row r="1242">
          <cell r="B1242" t="str">
            <v>Rodeldrick Harrison</v>
          </cell>
          <cell r="C1242">
            <v>458</v>
          </cell>
          <cell r="D1242">
            <v>0.96089999999999998</v>
          </cell>
          <cell r="E1242">
            <v>0.73060000000000003</v>
          </cell>
          <cell r="F1242">
            <v>0.96130000000000004</v>
          </cell>
          <cell r="G1242">
            <v>0.98729999999999996</v>
          </cell>
          <cell r="H1242">
            <v>0.89459999999999995</v>
          </cell>
        </row>
        <row r="1243">
          <cell r="B1243" t="str">
            <v>Deandra Neal</v>
          </cell>
          <cell r="C1243">
            <v>456</v>
          </cell>
          <cell r="D1243">
            <v>0.92200000000000004</v>
          </cell>
          <cell r="E1243">
            <v>0.73770000000000002</v>
          </cell>
          <cell r="F1243">
            <v>0.84289999999999998</v>
          </cell>
          <cell r="G1243">
            <v>0.99570000000000003</v>
          </cell>
          <cell r="H1243">
            <v>0.85029999999999994</v>
          </cell>
        </row>
        <row r="1244">
          <cell r="B1244" t="str">
            <v>Jose Felix</v>
          </cell>
          <cell r="C1244">
            <v>452</v>
          </cell>
          <cell r="D1244">
            <v>0.64159999999999995</v>
          </cell>
          <cell r="E1244">
            <v>0.68340000000000001</v>
          </cell>
          <cell r="F1244">
            <v>0.82420000000000004</v>
          </cell>
          <cell r="G1244">
            <v>0.8992</v>
          </cell>
          <cell r="H1244">
            <v>0.73470000000000002</v>
          </cell>
        </row>
        <row r="1245">
          <cell r="B1245" t="str">
            <v>Angela Johnson</v>
          </cell>
          <cell r="C1245">
            <v>452</v>
          </cell>
          <cell r="D1245">
            <v>0.97389999999999999</v>
          </cell>
          <cell r="E1245">
            <v>0.5887</v>
          </cell>
          <cell r="F1245">
            <v>0.90310000000000001</v>
          </cell>
          <cell r="G1245">
            <v>0.99609999999999999</v>
          </cell>
          <cell r="H1245">
            <v>0.83930000000000005</v>
          </cell>
        </row>
        <row r="1246">
          <cell r="B1246" t="str">
            <v>Sianna Gonzalez</v>
          </cell>
          <cell r="C1246">
            <v>448</v>
          </cell>
          <cell r="D1246">
            <v>0.86519999999999997</v>
          </cell>
          <cell r="E1246">
            <v>0.68289999999999995</v>
          </cell>
          <cell r="F1246">
            <v>0.91500000000000004</v>
          </cell>
          <cell r="G1246">
            <v>0.99350000000000005</v>
          </cell>
          <cell r="H1246">
            <v>0.83830000000000005</v>
          </cell>
        </row>
        <row r="1247">
          <cell r="B1247" t="str">
            <v>Erinesha Britton</v>
          </cell>
          <cell r="C1247">
            <v>447</v>
          </cell>
          <cell r="D1247">
            <v>0.94350000000000001</v>
          </cell>
          <cell r="E1247">
            <v>0.78</v>
          </cell>
          <cell r="F1247">
            <v>0.95089999999999997</v>
          </cell>
          <cell r="G1247">
            <v>0.97729999999999995</v>
          </cell>
          <cell r="H1247">
            <v>0.90010000000000001</v>
          </cell>
        </row>
        <row r="1248">
          <cell r="B1248" t="str">
            <v>Misty Devine</v>
          </cell>
          <cell r="C1248">
            <v>443</v>
          </cell>
          <cell r="D1248">
            <v>0.88890000000000002</v>
          </cell>
          <cell r="E1248">
            <v>0.7329</v>
          </cell>
          <cell r="F1248">
            <v>0.90169999999999995</v>
          </cell>
          <cell r="G1248">
            <v>0.91990000000000005</v>
          </cell>
          <cell r="H1248">
            <v>0.84899999999999998</v>
          </cell>
        </row>
        <row r="1249">
          <cell r="B1249" t="str">
            <v>Latrease Goodman</v>
          </cell>
          <cell r="C1249">
            <v>442</v>
          </cell>
          <cell r="D1249">
            <v>0.96260000000000001</v>
          </cell>
          <cell r="E1249">
            <v>0.72450000000000003</v>
          </cell>
          <cell r="F1249">
            <v>0.89249999999999996</v>
          </cell>
          <cell r="G1249">
            <v>0.91090000000000004</v>
          </cell>
          <cell r="H1249">
            <v>0.86499999999999999</v>
          </cell>
        </row>
        <row r="1250">
          <cell r="B1250" t="str">
            <v>Brendan Steele</v>
          </cell>
          <cell r="C1250">
            <v>441</v>
          </cell>
          <cell r="D1250">
            <v>0.8407</v>
          </cell>
          <cell r="E1250">
            <v>0.71740000000000004</v>
          </cell>
          <cell r="F1250">
            <v>0.85340000000000005</v>
          </cell>
          <cell r="G1250">
            <v>0.96220000000000006</v>
          </cell>
          <cell r="H1250">
            <v>0.81969999999999998</v>
          </cell>
        </row>
        <row r="1251">
          <cell r="B1251" t="str">
            <v>Ashley Post</v>
          </cell>
          <cell r="C1251">
            <v>440</v>
          </cell>
          <cell r="D1251">
            <v>0.92059999999999997</v>
          </cell>
          <cell r="E1251">
            <v>0.65549999999999997</v>
          </cell>
          <cell r="F1251">
            <v>0.97019999999999995</v>
          </cell>
          <cell r="G1251">
            <v>0.996</v>
          </cell>
          <cell r="H1251">
            <v>0.86350000000000005</v>
          </cell>
        </row>
        <row r="1252">
          <cell r="B1252" t="str">
            <v>Meghan Thompson</v>
          </cell>
          <cell r="C1252">
            <v>438</v>
          </cell>
          <cell r="D1252">
            <v>0.91969999999999996</v>
          </cell>
          <cell r="E1252">
            <v>0.66239999999999999</v>
          </cell>
          <cell r="F1252">
            <v>0.91859999999999997</v>
          </cell>
          <cell r="G1252">
            <v>0.99780000000000002</v>
          </cell>
          <cell r="H1252">
            <v>0.85</v>
          </cell>
        </row>
        <row r="1253">
          <cell r="B1253" t="str">
            <v>Jareisha Harris</v>
          </cell>
          <cell r="C1253">
            <v>436</v>
          </cell>
          <cell r="D1253">
            <v>0.9163</v>
          </cell>
          <cell r="E1253">
            <v>0.77939999999999998</v>
          </cell>
          <cell r="F1253">
            <v>0.89729999999999999</v>
          </cell>
          <cell r="G1253">
            <v>0.8901</v>
          </cell>
          <cell r="H1253">
            <v>0.8669</v>
          </cell>
        </row>
        <row r="1254">
          <cell r="B1254" t="str">
            <v>Alena Pena</v>
          </cell>
          <cell r="C1254">
            <v>436</v>
          </cell>
          <cell r="D1254">
            <v>0.95709999999999995</v>
          </cell>
          <cell r="E1254">
            <v>0.6351</v>
          </cell>
          <cell r="F1254">
            <v>0.87460000000000004</v>
          </cell>
          <cell r="G1254">
            <v>0.99299999999999999</v>
          </cell>
          <cell r="H1254">
            <v>0.83930000000000005</v>
          </cell>
        </row>
        <row r="1255">
          <cell r="B1255" t="str">
            <v>Darrian Olazaran</v>
          </cell>
          <cell r="C1255">
            <v>432</v>
          </cell>
          <cell r="D1255">
            <v>0.97189999999999999</v>
          </cell>
          <cell r="E1255">
            <v>0.62160000000000004</v>
          </cell>
          <cell r="F1255">
            <v>0.87470000000000003</v>
          </cell>
          <cell r="G1255">
            <v>0.99319999999999997</v>
          </cell>
          <cell r="H1255">
            <v>0.83979999999999999</v>
          </cell>
        </row>
        <row r="1256">
          <cell r="B1256" t="str">
            <v>Tanisha Morton</v>
          </cell>
          <cell r="C1256">
            <v>428</v>
          </cell>
          <cell r="D1256">
            <v>0.94530000000000003</v>
          </cell>
          <cell r="E1256">
            <v>0.71360000000000001</v>
          </cell>
          <cell r="F1256">
            <v>0.89490000000000003</v>
          </cell>
          <cell r="G1256">
            <v>0.94079999999999997</v>
          </cell>
          <cell r="H1256">
            <v>0.86019999999999996</v>
          </cell>
        </row>
        <row r="1257">
          <cell r="B1257" t="str">
            <v>Lynn Sullivan</v>
          </cell>
          <cell r="C1257">
            <v>428</v>
          </cell>
          <cell r="D1257">
            <v>0.92349999999999999</v>
          </cell>
          <cell r="E1257">
            <v>0.74760000000000004</v>
          </cell>
          <cell r="F1257">
            <v>0.86009999999999998</v>
          </cell>
          <cell r="G1257">
            <v>0.99809999999999999</v>
          </cell>
          <cell r="H1257">
            <v>0.85919999999999996</v>
          </cell>
        </row>
        <row r="1258">
          <cell r="B1258" t="str">
            <v>Antonique Jackson</v>
          </cell>
          <cell r="C1258">
            <v>427</v>
          </cell>
          <cell r="D1258">
            <v>0.91239999999999999</v>
          </cell>
          <cell r="E1258">
            <v>0.68120000000000003</v>
          </cell>
          <cell r="F1258">
            <v>0.80110000000000003</v>
          </cell>
          <cell r="G1258">
            <v>0.99080000000000001</v>
          </cell>
          <cell r="H1258">
            <v>0.8175</v>
          </cell>
        </row>
        <row r="1259">
          <cell r="B1259" t="str">
            <v>Eddie Wilcox</v>
          </cell>
          <cell r="C1259">
            <v>427</v>
          </cell>
          <cell r="D1259">
            <v>0.88529999999999998</v>
          </cell>
          <cell r="E1259">
            <v>0.69879999999999998</v>
          </cell>
          <cell r="F1259">
            <v>0.92220000000000002</v>
          </cell>
          <cell r="G1259">
            <v>0.98719999999999997</v>
          </cell>
          <cell r="H1259">
            <v>0.85060000000000002</v>
          </cell>
        </row>
        <row r="1260">
          <cell r="B1260" t="str">
            <v>Paul Rickard</v>
          </cell>
          <cell r="C1260">
            <v>425</v>
          </cell>
          <cell r="D1260">
            <v>0.94079999999999997</v>
          </cell>
          <cell r="E1260">
            <v>0.74409999999999998</v>
          </cell>
          <cell r="F1260">
            <v>0.91620000000000001</v>
          </cell>
          <cell r="G1260">
            <v>0.99819999999999998</v>
          </cell>
          <cell r="H1260">
            <v>0.88009999999999999</v>
          </cell>
        </row>
        <row r="1261">
          <cell r="B1261" t="str">
            <v>Tawanda Richardson</v>
          </cell>
          <cell r="C1261">
            <v>423</v>
          </cell>
          <cell r="D1261">
            <v>1</v>
          </cell>
          <cell r="E1261">
            <v>0.71060000000000001</v>
          </cell>
          <cell r="F1261">
            <v>0.90690000000000004</v>
          </cell>
          <cell r="G1261">
            <v>0.9819</v>
          </cell>
          <cell r="H1261">
            <v>0.88339999999999996</v>
          </cell>
        </row>
        <row r="1262">
          <cell r="B1262" t="str">
            <v>Jessilyn Holbrook</v>
          </cell>
          <cell r="C1262">
            <v>421</v>
          </cell>
          <cell r="D1262">
            <v>0.88100000000000001</v>
          </cell>
          <cell r="E1262">
            <v>0.65390000000000004</v>
          </cell>
          <cell r="F1262">
            <v>0.91769999999999996</v>
          </cell>
          <cell r="G1262">
            <v>0.99470000000000003</v>
          </cell>
          <cell r="H1262">
            <v>0.83520000000000005</v>
          </cell>
        </row>
        <row r="1263">
          <cell r="B1263" t="str">
            <v>Brandan Wade-Gardner</v>
          </cell>
          <cell r="C1263">
            <v>418</v>
          </cell>
          <cell r="D1263">
            <v>0.81130000000000002</v>
          </cell>
          <cell r="E1263">
            <v>0.66590000000000005</v>
          </cell>
          <cell r="F1263">
            <v>0.8417</v>
          </cell>
          <cell r="G1263">
            <v>0.99150000000000005</v>
          </cell>
          <cell r="H1263">
            <v>0.79479999999999995</v>
          </cell>
        </row>
        <row r="1264">
          <cell r="B1264" t="str">
            <v>Crystal Watson</v>
          </cell>
          <cell r="C1264">
            <v>418</v>
          </cell>
          <cell r="D1264">
            <v>0.97709999999999997</v>
          </cell>
          <cell r="E1264">
            <v>0.73970000000000002</v>
          </cell>
          <cell r="F1264">
            <v>0.86580000000000001</v>
          </cell>
          <cell r="G1264">
            <v>0.95099999999999996</v>
          </cell>
          <cell r="H1264">
            <v>0.86990000000000001</v>
          </cell>
        </row>
        <row r="1265">
          <cell r="B1265" t="str">
            <v>Rosalie Kelker</v>
          </cell>
          <cell r="C1265">
            <v>416</v>
          </cell>
          <cell r="D1265">
            <v>0.9657</v>
          </cell>
          <cell r="E1265">
            <v>0.73819999999999997</v>
          </cell>
          <cell r="F1265">
            <v>0.93689999999999996</v>
          </cell>
          <cell r="G1265">
            <v>0.99439999999999995</v>
          </cell>
          <cell r="H1265">
            <v>0.89170000000000005</v>
          </cell>
        </row>
        <row r="1266">
          <cell r="B1266" t="str">
            <v>Charlotte Dixon</v>
          </cell>
          <cell r="C1266">
            <v>416</v>
          </cell>
          <cell r="D1266">
            <v>0.90469999999999995</v>
          </cell>
          <cell r="E1266">
            <v>0.72570000000000001</v>
          </cell>
          <cell r="F1266">
            <v>0.94720000000000004</v>
          </cell>
          <cell r="G1266">
            <v>0.99480000000000002</v>
          </cell>
          <cell r="H1266">
            <v>0.87270000000000003</v>
          </cell>
        </row>
        <row r="1267">
          <cell r="B1267" t="str">
            <v>Olisha Villarreal</v>
          </cell>
          <cell r="C1267">
            <v>415</v>
          </cell>
          <cell r="D1267">
            <v>0.97050000000000003</v>
          </cell>
          <cell r="E1267">
            <v>0.7399</v>
          </cell>
          <cell r="F1267">
            <v>0.98</v>
          </cell>
          <cell r="G1267">
            <v>0.99729999999999996</v>
          </cell>
          <cell r="H1267">
            <v>0.90680000000000005</v>
          </cell>
        </row>
        <row r="1268">
          <cell r="B1268" t="str">
            <v>Alisha Reinitz</v>
          </cell>
          <cell r="C1268">
            <v>414</v>
          </cell>
          <cell r="D1268">
            <v>0.90049999999999997</v>
          </cell>
          <cell r="E1268">
            <v>0.65310000000000001</v>
          </cell>
          <cell r="F1268">
            <v>0.95720000000000005</v>
          </cell>
          <cell r="G1268">
            <v>0.99480000000000002</v>
          </cell>
          <cell r="H1268">
            <v>0.85270000000000001</v>
          </cell>
        </row>
        <row r="1269">
          <cell r="B1269" t="str">
            <v>Leah Seals</v>
          </cell>
          <cell r="C1269">
            <v>414</v>
          </cell>
          <cell r="D1269">
            <v>0.78100000000000003</v>
          </cell>
          <cell r="E1269">
            <v>0.68430000000000002</v>
          </cell>
          <cell r="F1269">
            <v>0.88800000000000001</v>
          </cell>
          <cell r="G1269">
            <v>0.84219999999999995</v>
          </cell>
          <cell r="H1269">
            <v>0.79020000000000001</v>
          </cell>
        </row>
        <row r="1270">
          <cell r="B1270" t="str">
            <v>Adrainanna Wilburn</v>
          </cell>
          <cell r="C1270">
            <v>413</v>
          </cell>
          <cell r="D1270">
            <v>0.90710000000000002</v>
          </cell>
          <cell r="E1270">
            <v>0.70920000000000005</v>
          </cell>
          <cell r="F1270">
            <v>0.9335</v>
          </cell>
          <cell r="G1270">
            <v>0.93359999999999999</v>
          </cell>
          <cell r="H1270">
            <v>0.85829999999999995</v>
          </cell>
        </row>
        <row r="1271">
          <cell r="B1271" t="str">
            <v>Charmaine Martinez</v>
          </cell>
          <cell r="C1271">
            <v>413</v>
          </cell>
          <cell r="D1271">
            <v>0.71399999999999997</v>
          </cell>
          <cell r="E1271">
            <v>0.7248</v>
          </cell>
          <cell r="F1271">
            <v>0.86350000000000005</v>
          </cell>
          <cell r="G1271">
            <v>0.98260000000000003</v>
          </cell>
          <cell r="H1271">
            <v>0.78890000000000005</v>
          </cell>
        </row>
        <row r="1272">
          <cell r="B1272" t="str">
            <v>Jennifer Garza</v>
          </cell>
          <cell r="C1272">
            <v>413</v>
          </cell>
          <cell r="D1272">
            <v>0.95430000000000004</v>
          </cell>
          <cell r="E1272">
            <v>0.68640000000000001</v>
          </cell>
          <cell r="F1272">
            <v>0.92949999999999999</v>
          </cell>
          <cell r="G1272">
            <v>0.86839999999999995</v>
          </cell>
          <cell r="H1272">
            <v>0.8579</v>
          </cell>
        </row>
        <row r="1273">
          <cell r="B1273" t="str">
            <v>Errica Anderson</v>
          </cell>
          <cell r="C1273">
            <v>413</v>
          </cell>
          <cell r="D1273">
            <v>0.99270000000000003</v>
          </cell>
          <cell r="E1273">
            <v>0.64970000000000006</v>
          </cell>
          <cell r="F1273">
            <v>0.88570000000000004</v>
          </cell>
          <cell r="G1273">
            <v>0.99570000000000003</v>
          </cell>
          <cell r="H1273">
            <v>0.85799999999999998</v>
          </cell>
        </row>
        <row r="1274">
          <cell r="B1274" t="str">
            <v>Myeisha Glenn</v>
          </cell>
          <cell r="C1274">
            <v>410</v>
          </cell>
          <cell r="D1274">
            <v>0.97909999999999997</v>
          </cell>
          <cell r="E1274">
            <v>0.69030000000000002</v>
          </cell>
          <cell r="F1274">
            <v>0.9657</v>
          </cell>
          <cell r="G1274">
            <v>0.99829999999999997</v>
          </cell>
          <cell r="H1274">
            <v>0.89039999999999997</v>
          </cell>
        </row>
        <row r="1275">
          <cell r="B1275" t="str">
            <v>April Morris</v>
          </cell>
          <cell r="C1275">
            <v>409</v>
          </cell>
          <cell r="D1275">
            <v>0.94540000000000002</v>
          </cell>
          <cell r="E1275">
            <v>0.74519999999999997</v>
          </cell>
          <cell r="F1275">
            <v>0.95430000000000004</v>
          </cell>
          <cell r="G1275">
            <v>0.99650000000000005</v>
          </cell>
          <cell r="H1275">
            <v>0.8931</v>
          </cell>
        </row>
        <row r="1276">
          <cell r="B1276" t="str">
            <v>Brandon Brock</v>
          </cell>
          <cell r="C1276">
            <v>408</v>
          </cell>
          <cell r="D1276">
            <v>0.96760000000000002</v>
          </cell>
          <cell r="E1276">
            <v>0.61909999999999998</v>
          </cell>
          <cell r="F1276">
            <v>0.94359999999999999</v>
          </cell>
          <cell r="G1276">
            <v>0.99719999999999998</v>
          </cell>
          <cell r="H1276">
            <v>0.85880000000000001</v>
          </cell>
        </row>
        <row r="1277">
          <cell r="B1277" t="str">
            <v>Raven Watts</v>
          </cell>
          <cell r="C1277">
            <v>404</v>
          </cell>
          <cell r="D1277">
            <v>0.88419999999999999</v>
          </cell>
          <cell r="E1277">
            <v>0.69030000000000002</v>
          </cell>
          <cell r="F1277">
            <v>0.83899999999999997</v>
          </cell>
          <cell r="G1277">
            <v>0.9536</v>
          </cell>
          <cell r="H1277">
            <v>0.81940000000000002</v>
          </cell>
        </row>
        <row r="1278">
          <cell r="B1278" t="str">
            <v>Lois Long</v>
          </cell>
          <cell r="C1278">
            <v>404</v>
          </cell>
          <cell r="D1278">
            <v>0.93310000000000004</v>
          </cell>
          <cell r="E1278">
            <v>0.70589999999999997</v>
          </cell>
          <cell r="F1278">
            <v>0.89800000000000002</v>
          </cell>
          <cell r="G1278">
            <v>0.96850000000000003</v>
          </cell>
          <cell r="H1278">
            <v>0.8579</v>
          </cell>
        </row>
        <row r="1279">
          <cell r="B1279" t="str">
            <v>Sarah Canchani</v>
          </cell>
          <cell r="C1279">
            <v>403</v>
          </cell>
          <cell r="D1279">
            <v>0.9032</v>
          </cell>
          <cell r="E1279">
            <v>0.78600000000000003</v>
          </cell>
          <cell r="F1279">
            <v>0.93610000000000004</v>
          </cell>
          <cell r="G1279">
            <v>0.93059999999999998</v>
          </cell>
          <cell r="H1279">
            <v>0.88070000000000004</v>
          </cell>
        </row>
        <row r="1280">
          <cell r="B1280" t="str">
            <v>Kendra Yearby</v>
          </cell>
          <cell r="C1280">
            <v>401</v>
          </cell>
          <cell r="D1280">
            <v>0.82799999999999996</v>
          </cell>
          <cell r="E1280">
            <v>0.74250000000000005</v>
          </cell>
          <cell r="F1280">
            <v>0.87</v>
          </cell>
          <cell r="G1280">
            <v>0.95689999999999997</v>
          </cell>
          <cell r="H1280">
            <v>0.82779999999999998</v>
          </cell>
        </row>
        <row r="1281">
          <cell r="B1281" t="str">
            <v>Janaya Wiles</v>
          </cell>
          <cell r="C1281">
            <v>400</v>
          </cell>
          <cell r="D1281">
            <v>0.94620000000000004</v>
          </cell>
          <cell r="E1281">
            <v>0.73070000000000002</v>
          </cell>
          <cell r="F1281">
            <v>0.8468</v>
          </cell>
          <cell r="G1281">
            <v>0.97089999999999999</v>
          </cell>
          <cell r="H1281">
            <v>0.85419999999999996</v>
          </cell>
        </row>
        <row r="1282">
          <cell r="B1282" t="str">
            <v>Asya Holmes-Stewart</v>
          </cell>
          <cell r="C1282">
            <v>398</v>
          </cell>
          <cell r="D1282">
            <v>0.68689999999999996</v>
          </cell>
          <cell r="E1282">
            <v>0.66369999999999996</v>
          </cell>
          <cell r="F1282">
            <v>0.80920000000000003</v>
          </cell>
          <cell r="G1282">
            <v>0.99070000000000003</v>
          </cell>
          <cell r="H1282">
            <v>0.747</v>
          </cell>
        </row>
        <row r="1283">
          <cell r="B1283" t="str">
            <v>Trisha Iruegas</v>
          </cell>
          <cell r="C1283">
            <v>398</v>
          </cell>
          <cell r="D1283">
            <v>0.95960000000000001</v>
          </cell>
          <cell r="E1283">
            <v>0.74360000000000004</v>
          </cell>
          <cell r="F1283">
            <v>0.94420000000000004</v>
          </cell>
          <cell r="G1283">
            <v>0.99039999999999995</v>
          </cell>
          <cell r="H1283">
            <v>0.89319999999999999</v>
          </cell>
        </row>
        <row r="1284">
          <cell r="B1284" t="str">
            <v>Ravianna Duncan</v>
          </cell>
          <cell r="C1284">
            <v>396</v>
          </cell>
          <cell r="D1284">
            <v>0.89470000000000005</v>
          </cell>
          <cell r="E1284">
            <v>0.74750000000000005</v>
          </cell>
          <cell r="F1284">
            <v>0.86429999999999996</v>
          </cell>
          <cell r="G1284">
            <v>0.82589999999999997</v>
          </cell>
          <cell r="H1284">
            <v>0.83450000000000002</v>
          </cell>
        </row>
        <row r="1285">
          <cell r="B1285" t="str">
            <v>Marcus Smith</v>
          </cell>
          <cell r="C1285">
            <v>395</v>
          </cell>
          <cell r="D1285">
            <v>0.76639999999999997</v>
          </cell>
          <cell r="E1285">
            <v>0.68369999999999997</v>
          </cell>
          <cell r="F1285">
            <v>0.7923</v>
          </cell>
          <cell r="G1285">
            <v>0.93779999999999997</v>
          </cell>
          <cell r="H1285">
            <v>0.76649999999999996</v>
          </cell>
        </row>
        <row r="1286">
          <cell r="B1286" t="str">
            <v>Heidi Goode- Hudson</v>
          </cell>
          <cell r="C1286">
            <v>394</v>
          </cell>
          <cell r="D1286">
            <v>0.94640000000000002</v>
          </cell>
          <cell r="E1286">
            <v>0.752</v>
          </cell>
          <cell r="F1286">
            <v>0.96</v>
          </cell>
          <cell r="G1286">
            <v>0.99219999999999997</v>
          </cell>
          <cell r="H1286">
            <v>0.89670000000000005</v>
          </cell>
        </row>
        <row r="1287">
          <cell r="B1287" t="str">
            <v>Glenda Arias</v>
          </cell>
          <cell r="C1287">
            <v>394</v>
          </cell>
          <cell r="D1287">
            <v>0.81340000000000001</v>
          </cell>
          <cell r="E1287">
            <v>0.68330000000000002</v>
          </cell>
          <cell r="F1287">
            <v>0.93100000000000005</v>
          </cell>
          <cell r="G1287">
            <v>0.86809999999999998</v>
          </cell>
          <cell r="H1287">
            <v>0.81510000000000005</v>
          </cell>
        </row>
        <row r="1288">
          <cell r="B1288" t="str">
            <v>Alicia Martinez Romero</v>
          </cell>
          <cell r="C1288">
            <v>393</v>
          </cell>
          <cell r="D1288">
            <v>0.35630000000000001</v>
          </cell>
          <cell r="E1288">
            <v>0.70660000000000001</v>
          </cell>
          <cell r="F1288">
            <v>0.78590000000000004</v>
          </cell>
          <cell r="G1288">
            <v>0.82989999999999997</v>
          </cell>
          <cell r="H1288">
            <v>0.63759999999999994</v>
          </cell>
        </row>
        <row r="1289">
          <cell r="B1289" t="str">
            <v>Mira Strange</v>
          </cell>
          <cell r="C1289">
            <v>392</v>
          </cell>
          <cell r="D1289">
            <v>0.91610000000000003</v>
          </cell>
          <cell r="E1289">
            <v>0.69550000000000001</v>
          </cell>
          <cell r="F1289">
            <v>0.87370000000000003</v>
          </cell>
          <cell r="G1289">
            <v>0.94689999999999996</v>
          </cell>
          <cell r="H1289">
            <v>0.84030000000000005</v>
          </cell>
        </row>
        <row r="1290">
          <cell r="B1290" t="str">
            <v>Melanie Williamson</v>
          </cell>
          <cell r="C1290">
            <v>390</v>
          </cell>
          <cell r="D1290">
            <v>0.88929999999999998</v>
          </cell>
          <cell r="E1290">
            <v>0.71809999999999996</v>
          </cell>
          <cell r="F1290">
            <v>0.92620000000000002</v>
          </cell>
          <cell r="G1290">
            <v>0.90610000000000002</v>
          </cell>
          <cell r="H1290">
            <v>0.85070000000000001</v>
          </cell>
        </row>
        <row r="1291">
          <cell r="B1291" t="str">
            <v>Guitara Woods</v>
          </cell>
          <cell r="C1291">
            <v>389</v>
          </cell>
          <cell r="D1291">
            <v>0.96099999999999997</v>
          </cell>
          <cell r="E1291">
            <v>0.6613</v>
          </cell>
          <cell r="F1291">
            <v>0.94840000000000002</v>
          </cell>
          <cell r="G1291">
            <v>0.99880000000000002</v>
          </cell>
          <cell r="H1291">
            <v>0.87109999999999999</v>
          </cell>
        </row>
        <row r="1292">
          <cell r="B1292" t="str">
            <v>Armistice Holmes</v>
          </cell>
          <cell r="C1292">
            <v>387</v>
          </cell>
          <cell r="D1292">
            <v>0.90839999999999999</v>
          </cell>
          <cell r="E1292">
            <v>0.6744</v>
          </cell>
          <cell r="F1292">
            <v>0.92749999999999999</v>
          </cell>
          <cell r="G1292">
            <v>0.98440000000000005</v>
          </cell>
          <cell r="H1292">
            <v>0.85150000000000003</v>
          </cell>
        </row>
        <row r="1293">
          <cell r="B1293" t="str">
            <v>Laquita Davis</v>
          </cell>
          <cell r="C1293">
            <v>386</v>
          </cell>
          <cell r="D1293">
            <v>0.93089999999999995</v>
          </cell>
          <cell r="E1293">
            <v>0.76619999999999999</v>
          </cell>
          <cell r="F1293">
            <v>0.91810000000000003</v>
          </cell>
          <cell r="G1293">
            <v>0.95450000000000002</v>
          </cell>
          <cell r="H1293">
            <v>0.88</v>
          </cell>
        </row>
        <row r="1294">
          <cell r="B1294" t="str">
            <v>Shantavis Idleburg</v>
          </cell>
          <cell r="C1294">
            <v>385</v>
          </cell>
          <cell r="D1294">
            <v>0.87160000000000004</v>
          </cell>
          <cell r="E1294">
            <v>0.71250000000000002</v>
          </cell>
          <cell r="F1294">
            <v>0.88219999999999998</v>
          </cell>
          <cell r="G1294">
            <v>0.97660000000000002</v>
          </cell>
          <cell r="H1294">
            <v>0.83750000000000002</v>
          </cell>
        </row>
        <row r="1295">
          <cell r="B1295" t="str">
            <v>Giovanna Carrisalez</v>
          </cell>
          <cell r="C1295">
            <v>381</v>
          </cell>
          <cell r="D1295">
            <v>0.38</v>
          </cell>
          <cell r="E1295">
            <v>0.64739999999999998</v>
          </cell>
          <cell r="F1295">
            <v>0.83640000000000003</v>
          </cell>
          <cell r="G1295">
            <v>0.76329999999999998</v>
          </cell>
          <cell r="H1295">
            <v>0.63549999999999995</v>
          </cell>
        </row>
        <row r="1296">
          <cell r="B1296" t="str">
            <v>Vereassia Johnson</v>
          </cell>
          <cell r="C1296">
            <v>380</v>
          </cell>
          <cell r="D1296">
            <v>0.76190000000000002</v>
          </cell>
          <cell r="E1296">
            <v>0.60589999999999999</v>
          </cell>
          <cell r="F1296">
            <v>0.87839999999999996</v>
          </cell>
          <cell r="G1296">
            <v>0.99829999999999997</v>
          </cell>
          <cell r="H1296">
            <v>0.77370000000000005</v>
          </cell>
        </row>
        <row r="1297">
          <cell r="B1297" t="str">
            <v>Kanesha Walker</v>
          </cell>
          <cell r="C1297">
            <v>380</v>
          </cell>
          <cell r="D1297">
            <v>0.97309999999999997</v>
          </cell>
          <cell r="E1297">
            <v>0.71879999999999999</v>
          </cell>
          <cell r="F1297">
            <v>0.96479999999999999</v>
          </cell>
          <cell r="G1297">
            <v>0.9919</v>
          </cell>
          <cell r="H1297">
            <v>0.8962</v>
          </cell>
        </row>
        <row r="1298">
          <cell r="B1298" t="str">
            <v>Yesenia Garcia</v>
          </cell>
          <cell r="C1298">
            <v>380</v>
          </cell>
          <cell r="D1298">
            <v>0.3019</v>
          </cell>
          <cell r="E1298">
            <v>0.6169</v>
          </cell>
          <cell r="F1298">
            <v>0.71350000000000002</v>
          </cell>
          <cell r="G1298">
            <v>0.64400000000000002</v>
          </cell>
          <cell r="H1298">
            <v>0.55410000000000004</v>
          </cell>
        </row>
        <row r="1299">
          <cell r="B1299" t="str">
            <v>Erik Ramos Lara</v>
          </cell>
          <cell r="C1299">
            <v>379</v>
          </cell>
          <cell r="D1299">
            <v>0.94020000000000004</v>
          </cell>
          <cell r="E1299">
            <v>0.70379999999999998</v>
          </cell>
          <cell r="F1299">
            <v>0.87139999999999995</v>
          </cell>
          <cell r="G1299">
            <v>0.93210000000000004</v>
          </cell>
          <cell r="H1299">
            <v>0.8478</v>
          </cell>
        </row>
        <row r="1300">
          <cell r="B1300" t="str">
            <v>Dasia Johnson</v>
          </cell>
          <cell r="C1300">
            <v>376</v>
          </cell>
          <cell r="D1300">
            <v>0.79690000000000005</v>
          </cell>
          <cell r="E1300">
            <v>0.55410000000000004</v>
          </cell>
          <cell r="F1300">
            <v>0.80910000000000004</v>
          </cell>
          <cell r="G1300">
            <v>0.99939999999999996</v>
          </cell>
          <cell r="H1300">
            <v>0.748</v>
          </cell>
        </row>
        <row r="1301">
          <cell r="B1301" t="str">
            <v>Darryl Callahan</v>
          </cell>
          <cell r="C1301">
            <v>376</v>
          </cell>
          <cell r="D1301">
            <v>0.84540000000000004</v>
          </cell>
          <cell r="E1301">
            <v>0.64649999999999996</v>
          </cell>
          <cell r="F1301">
            <v>0.91</v>
          </cell>
          <cell r="G1301">
            <v>0.98480000000000001</v>
          </cell>
          <cell r="H1301">
            <v>0.81910000000000005</v>
          </cell>
        </row>
        <row r="1302">
          <cell r="B1302" t="str">
            <v>Adriana Gonzalez</v>
          </cell>
          <cell r="C1302">
            <v>374</v>
          </cell>
          <cell r="D1302">
            <v>0.82540000000000002</v>
          </cell>
          <cell r="E1302">
            <v>0.63429999999999997</v>
          </cell>
          <cell r="F1302">
            <v>0.7399</v>
          </cell>
          <cell r="G1302">
            <v>0.9738</v>
          </cell>
          <cell r="H1302">
            <v>0.75719999999999998</v>
          </cell>
        </row>
        <row r="1303">
          <cell r="B1303" t="str">
            <v>Zyasia Trice</v>
          </cell>
          <cell r="C1303">
            <v>370</v>
          </cell>
          <cell r="D1303">
            <v>0.88959999999999995</v>
          </cell>
          <cell r="E1303">
            <v>0.63370000000000004</v>
          </cell>
          <cell r="F1303">
            <v>0.77749999999999997</v>
          </cell>
          <cell r="G1303">
            <v>0.90869999999999995</v>
          </cell>
          <cell r="H1303">
            <v>0.78110000000000002</v>
          </cell>
        </row>
        <row r="1304">
          <cell r="B1304" t="str">
            <v>Kyiia Hailes</v>
          </cell>
          <cell r="C1304">
            <v>370</v>
          </cell>
          <cell r="D1304">
            <v>0.91959999999999997</v>
          </cell>
          <cell r="E1304">
            <v>0.6482</v>
          </cell>
          <cell r="F1304">
            <v>0.77810000000000001</v>
          </cell>
          <cell r="G1304">
            <v>0.99719999999999998</v>
          </cell>
          <cell r="H1304">
            <v>0.80349999999999999</v>
          </cell>
        </row>
        <row r="1305">
          <cell r="B1305" t="str">
            <v>Bailey Bayard</v>
          </cell>
          <cell r="C1305">
            <v>368</v>
          </cell>
          <cell r="D1305">
            <v>0.86109999999999998</v>
          </cell>
          <cell r="E1305">
            <v>0.62270000000000003</v>
          </cell>
          <cell r="F1305">
            <v>0.87670000000000003</v>
          </cell>
          <cell r="G1305">
            <v>0.99390000000000001</v>
          </cell>
          <cell r="H1305">
            <v>0.8075</v>
          </cell>
        </row>
        <row r="1306">
          <cell r="B1306" t="str">
            <v>Kristi Oshiro</v>
          </cell>
          <cell r="C1306">
            <v>368</v>
          </cell>
          <cell r="D1306">
            <v>0.91110000000000002</v>
          </cell>
          <cell r="E1306">
            <v>0.72899999999999998</v>
          </cell>
          <cell r="F1306">
            <v>0.91390000000000005</v>
          </cell>
          <cell r="G1306">
            <v>0.98950000000000005</v>
          </cell>
          <cell r="H1306">
            <v>0.86509999999999998</v>
          </cell>
        </row>
        <row r="1307">
          <cell r="B1307" t="str">
            <v>Ziayale Phillips</v>
          </cell>
          <cell r="C1307">
            <v>366</v>
          </cell>
          <cell r="D1307">
            <v>0.91959999999999997</v>
          </cell>
          <cell r="E1307">
            <v>0.69369999999999998</v>
          </cell>
          <cell r="F1307">
            <v>0.94389999999999996</v>
          </cell>
          <cell r="G1307">
            <v>0.98860000000000003</v>
          </cell>
          <cell r="H1307">
            <v>0.86599999999999999</v>
          </cell>
        </row>
        <row r="1308">
          <cell r="B1308" t="str">
            <v>Sarah Graves</v>
          </cell>
          <cell r="C1308">
            <v>365</v>
          </cell>
          <cell r="D1308">
            <v>0.81410000000000005</v>
          </cell>
          <cell r="E1308">
            <v>0.62760000000000005</v>
          </cell>
          <cell r="F1308">
            <v>0.87350000000000005</v>
          </cell>
          <cell r="G1308">
            <v>0.99260000000000004</v>
          </cell>
          <cell r="H1308">
            <v>0.79379999999999995</v>
          </cell>
        </row>
        <row r="1309">
          <cell r="B1309" t="str">
            <v>Dionna Graham</v>
          </cell>
          <cell r="C1309">
            <v>364</v>
          </cell>
          <cell r="D1309">
            <v>0.96789999999999998</v>
          </cell>
          <cell r="E1309">
            <v>0.65910000000000002</v>
          </cell>
          <cell r="F1309">
            <v>0.92830000000000001</v>
          </cell>
          <cell r="G1309">
            <v>0.99590000000000001</v>
          </cell>
          <cell r="H1309">
            <v>0.86619999999999997</v>
          </cell>
        </row>
        <row r="1310">
          <cell r="B1310" t="str">
            <v>Sherry Hernandez</v>
          </cell>
          <cell r="C1310">
            <v>362</v>
          </cell>
          <cell r="D1310">
            <v>0.74439999999999995</v>
          </cell>
          <cell r="E1310">
            <v>0.69059999999999999</v>
          </cell>
          <cell r="F1310">
            <v>0.86319999999999997</v>
          </cell>
          <cell r="G1310">
            <v>0.98119999999999996</v>
          </cell>
          <cell r="H1310">
            <v>0.78759999999999997</v>
          </cell>
        </row>
        <row r="1311">
          <cell r="B1311" t="str">
            <v>Ingrid Paz</v>
          </cell>
          <cell r="C1311">
            <v>357</v>
          </cell>
          <cell r="D1311">
            <v>0.87949999999999995</v>
          </cell>
          <cell r="E1311">
            <v>0.76160000000000005</v>
          </cell>
          <cell r="F1311">
            <v>0.8921</v>
          </cell>
          <cell r="G1311">
            <v>0.90590000000000004</v>
          </cell>
          <cell r="H1311">
            <v>0.85060000000000002</v>
          </cell>
        </row>
        <row r="1312">
          <cell r="B1312" t="str">
            <v>Keasia Shalay Michael</v>
          </cell>
          <cell r="C1312">
            <v>356</v>
          </cell>
          <cell r="D1312">
            <v>0.79659999999999997</v>
          </cell>
          <cell r="E1312">
            <v>0.70679999999999998</v>
          </cell>
          <cell r="F1312">
            <v>0.89200000000000002</v>
          </cell>
          <cell r="G1312">
            <v>0.98180000000000001</v>
          </cell>
          <cell r="H1312">
            <v>0.81679999999999997</v>
          </cell>
        </row>
        <row r="1313">
          <cell r="B1313" t="str">
            <v>Ronijah Reynolds</v>
          </cell>
          <cell r="C1313">
            <v>355</v>
          </cell>
          <cell r="D1313">
            <v>0.27489999999999998</v>
          </cell>
          <cell r="E1313">
            <v>0.54649999999999999</v>
          </cell>
          <cell r="F1313">
            <v>0.45629999999999998</v>
          </cell>
          <cell r="G1313">
            <v>0.97199999999999998</v>
          </cell>
          <cell r="H1313">
            <v>0.48049999999999998</v>
          </cell>
        </row>
        <row r="1314">
          <cell r="B1314" t="str">
            <v>Bryan Peele</v>
          </cell>
          <cell r="C1314">
            <v>352</v>
          </cell>
          <cell r="D1314">
            <v>0.80310000000000004</v>
          </cell>
          <cell r="E1314">
            <v>0.75139999999999996</v>
          </cell>
          <cell r="F1314">
            <v>0.9516</v>
          </cell>
          <cell r="G1314">
            <v>0.91180000000000005</v>
          </cell>
          <cell r="H1314">
            <v>0.84299999999999997</v>
          </cell>
        </row>
        <row r="1315">
          <cell r="B1315" t="str">
            <v>Marc Ferrira</v>
          </cell>
          <cell r="C1315">
            <v>348</v>
          </cell>
          <cell r="D1315">
            <v>0.91930000000000001</v>
          </cell>
          <cell r="E1315">
            <v>0.6885</v>
          </cell>
          <cell r="F1315">
            <v>0.71650000000000003</v>
          </cell>
          <cell r="G1315">
            <v>0.98880000000000001</v>
          </cell>
          <cell r="H1315">
            <v>0.79620000000000002</v>
          </cell>
        </row>
        <row r="1316">
          <cell r="B1316" t="str">
            <v>Preston Douglas</v>
          </cell>
          <cell r="C1316">
            <v>348</v>
          </cell>
          <cell r="D1316">
            <v>0.86260000000000003</v>
          </cell>
          <cell r="E1316">
            <v>0.71660000000000001</v>
          </cell>
          <cell r="F1316">
            <v>0.92879999999999996</v>
          </cell>
          <cell r="G1316">
            <v>0.98809999999999998</v>
          </cell>
          <cell r="H1316">
            <v>0.85119999999999996</v>
          </cell>
        </row>
        <row r="1317">
          <cell r="B1317" t="str">
            <v>Astrioen Hampton</v>
          </cell>
          <cell r="C1317">
            <v>348</v>
          </cell>
          <cell r="D1317">
            <v>0.82310000000000005</v>
          </cell>
          <cell r="E1317">
            <v>0.68130000000000002</v>
          </cell>
          <cell r="F1317">
            <v>0.91520000000000001</v>
          </cell>
          <cell r="G1317">
            <v>0.84499999999999997</v>
          </cell>
          <cell r="H1317">
            <v>0.81040000000000001</v>
          </cell>
        </row>
        <row r="1318">
          <cell r="B1318" t="str">
            <v>Tanzia Bond</v>
          </cell>
          <cell r="C1318">
            <v>347</v>
          </cell>
          <cell r="D1318">
            <v>0.93079999999999996</v>
          </cell>
          <cell r="E1318">
            <v>0.71209999999999996</v>
          </cell>
          <cell r="F1318">
            <v>0.87529999999999997</v>
          </cell>
          <cell r="G1318">
            <v>0.96679999999999999</v>
          </cell>
          <cell r="H1318">
            <v>0.85209999999999997</v>
          </cell>
        </row>
        <row r="1319">
          <cell r="B1319" t="str">
            <v>Matthew Lau</v>
          </cell>
          <cell r="C1319">
            <v>341</v>
          </cell>
          <cell r="D1319">
            <v>0.9204</v>
          </cell>
          <cell r="E1319">
            <v>0.68189999999999995</v>
          </cell>
          <cell r="F1319">
            <v>0.88180000000000003</v>
          </cell>
          <cell r="G1319">
            <v>0.98839999999999995</v>
          </cell>
          <cell r="H1319">
            <v>0.84399999999999997</v>
          </cell>
        </row>
        <row r="1320">
          <cell r="B1320" t="str">
            <v>Yunuen Huerta</v>
          </cell>
          <cell r="C1320">
            <v>336</v>
          </cell>
          <cell r="D1320">
            <v>0.75939999999999996</v>
          </cell>
          <cell r="E1320">
            <v>0.67210000000000003</v>
          </cell>
          <cell r="F1320">
            <v>0.89900000000000002</v>
          </cell>
          <cell r="G1320">
            <v>0.87519999999999998</v>
          </cell>
          <cell r="H1320">
            <v>0.78669999999999995</v>
          </cell>
        </row>
        <row r="1321">
          <cell r="B1321" t="str">
            <v>Jasmine Dokes</v>
          </cell>
          <cell r="C1321">
            <v>328</v>
          </cell>
          <cell r="D1321">
            <v>0.93340000000000001</v>
          </cell>
          <cell r="E1321">
            <v>0.64910000000000001</v>
          </cell>
          <cell r="F1321">
            <v>0.94889999999999997</v>
          </cell>
          <cell r="G1321">
            <v>0.99339999999999995</v>
          </cell>
          <cell r="H1321">
            <v>0.85870000000000002</v>
          </cell>
        </row>
        <row r="1322">
          <cell r="B1322" t="str">
            <v>Romeo People</v>
          </cell>
          <cell r="C1322">
            <v>327</v>
          </cell>
          <cell r="D1322">
            <v>0.93989999999999996</v>
          </cell>
          <cell r="E1322">
            <v>0.71889999999999998</v>
          </cell>
          <cell r="F1322">
            <v>0.96289999999999998</v>
          </cell>
          <cell r="G1322">
            <v>0.99580000000000002</v>
          </cell>
          <cell r="H1322">
            <v>0.8861</v>
          </cell>
        </row>
        <row r="1323">
          <cell r="B1323" t="str">
            <v>Bessie Hansel</v>
          </cell>
          <cell r="C1323">
            <v>326</v>
          </cell>
          <cell r="D1323">
            <v>0.87860000000000005</v>
          </cell>
          <cell r="E1323">
            <v>0.6976</v>
          </cell>
          <cell r="F1323">
            <v>0.9597</v>
          </cell>
          <cell r="G1323">
            <v>0.99050000000000005</v>
          </cell>
          <cell r="H1323">
            <v>0.85980000000000001</v>
          </cell>
        </row>
        <row r="1324">
          <cell r="B1324" t="str">
            <v>Roxanne Vargas</v>
          </cell>
          <cell r="C1324">
            <v>326</v>
          </cell>
          <cell r="D1324">
            <v>0.60160000000000002</v>
          </cell>
          <cell r="E1324">
            <v>0.7278</v>
          </cell>
          <cell r="F1324">
            <v>0.84960000000000002</v>
          </cell>
          <cell r="G1324">
            <v>0.7</v>
          </cell>
          <cell r="H1324">
            <v>0.72370000000000001</v>
          </cell>
        </row>
        <row r="1325">
          <cell r="B1325" t="str">
            <v>Keisha Lassetter</v>
          </cell>
          <cell r="C1325">
            <v>325</v>
          </cell>
          <cell r="D1325">
            <v>0.97619999999999996</v>
          </cell>
          <cell r="E1325">
            <v>0.67459999999999998</v>
          </cell>
          <cell r="F1325">
            <v>0.95709999999999995</v>
          </cell>
          <cell r="G1325">
            <v>0.98380000000000001</v>
          </cell>
          <cell r="H1325">
            <v>0.88070000000000004</v>
          </cell>
        </row>
        <row r="1326">
          <cell r="B1326" t="str">
            <v>Crystal Carson</v>
          </cell>
          <cell r="C1326">
            <v>321</v>
          </cell>
          <cell r="D1326">
            <v>0.94120000000000004</v>
          </cell>
          <cell r="E1326">
            <v>0.72719999999999996</v>
          </cell>
          <cell r="F1326">
            <v>0.93730000000000002</v>
          </cell>
          <cell r="G1326">
            <v>0.85140000000000005</v>
          </cell>
          <cell r="H1326">
            <v>0.8669</v>
          </cell>
        </row>
        <row r="1327">
          <cell r="B1327" t="str">
            <v>Brittany King</v>
          </cell>
          <cell r="C1327">
            <v>319</v>
          </cell>
          <cell r="D1327">
            <v>0.96209999999999996</v>
          </cell>
          <cell r="E1327">
            <v>0.6502</v>
          </cell>
          <cell r="F1327">
            <v>0.90610000000000002</v>
          </cell>
          <cell r="G1327">
            <v>0.98860000000000003</v>
          </cell>
          <cell r="H1327">
            <v>0.85440000000000005</v>
          </cell>
        </row>
        <row r="1328">
          <cell r="B1328" t="str">
            <v>Quatesha Johnson</v>
          </cell>
          <cell r="C1328">
            <v>318</v>
          </cell>
          <cell r="D1328">
            <v>0.80579999999999996</v>
          </cell>
          <cell r="E1328">
            <v>0.62870000000000004</v>
          </cell>
          <cell r="F1328">
            <v>0.86580000000000001</v>
          </cell>
          <cell r="G1328">
            <v>0.90569999999999995</v>
          </cell>
          <cell r="H1328">
            <v>0.78069999999999995</v>
          </cell>
        </row>
        <row r="1329">
          <cell r="B1329" t="str">
            <v>Farrow Jackson</v>
          </cell>
          <cell r="C1329">
            <v>318</v>
          </cell>
          <cell r="D1329">
            <v>0.80740000000000001</v>
          </cell>
          <cell r="E1329">
            <v>0.73670000000000002</v>
          </cell>
          <cell r="F1329">
            <v>0.82569999999999999</v>
          </cell>
          <cell r="G1329">
            <v>0.98770000000000002</v>
          </cell>
          <cell r="H1329">
            <v>0.80969999999999998</v>
          </cell>
        </row>
        <row r="1330">
          <cell r="B1330" t="str">
            <v>Tamahje Oliver</v>
          </cell>
          <cell r="C1330">
            <v>315</v>
          </cell>
          <cell r="D1330">
            <v>0.89890000000000003</v>
          </cell>
          <cell r="E1330">
            <v>0.72260000000000002</v>
          </cell>
          <cell r="F1330">
            <v>0.93400000000000005</v>
          </cell>
          <cell r="G1330">
            <v>0.99919999999999998</v>
          </cell>
          <cell r="H1330">
            <v>0.86660000000000004</v>
          </cell>
        </row>
        <row r="1331">
          <cell r="B1331" t="str">
            <v>Taylor Bargmann</v>
          </cell>
          <cell r="C1331">
            <v>310</v>
          </cell>
          <cell r="D1331">
            <v>0.86129999999999995</v>
          </cell>
          <cell r="E1331">
            <v>0.63400000000000001</v>
          </cell>
          <cell r="F1331">
            <v>0.93120000000000003</v>
          </cell>
          <cell r="G1331">
            <v>0.99829999999999997</v>
          </cell>
          <cell r="H1331">
            <v>0.82779999999999998</v>
          </cell>
        </row>
        <row r="1332">
          <cell r="B1332" t="str">
            <v>Sarah McKain</v>
          </cell>
          <cell r="C1332">
            <v>308</v>
          </cell>
          <cell r="D1332">
            <v>0.8962</v>
          </cell>
          <cell r="E1332">
            <v>0.66849999999999998</v>
          </cell>
          <cell r="F1332">
            <v>0.83960000000000001</v>
          </cell>
          <cell r="G1332">
            <v>0.87009999999999998</v>
          </cell>
          <cell r="H1332">
            <v>0.80830000000000002</v>
          </cell>
        </row>
        <row r="1333">
          <cell r="B1333" t="str">
            <v>Zachary Miller</v>
          </cell>
          <cell r="C1333">
            <v>306</v>
          </cell>
          <cell r="D1333">
            <v>0.78539999999999999</v>
          </cell>
          <cell r="E1333">
            <v>0.73209999999999997</v>
          </cell>
          <cell r="F1333">
            <v>0.8962</v>
          </cell>
          <cell r="G1333">
            <v>0.98560000000000003</v>
          </cell>
          <cell r="H1333">
            <v>0.82269999999999999</v>
          </cell>
        </row>
        <row r="1334">
          <cell r="B1334" t="str">
            <v>Destiny Tobler</v>
          </cell>
          <cell r="C1334">
            <v>304</v>
          </cell>
          <cell r="D1334">
            <v>0.89910000000000001</v>
          </cell>
          <cell r="E1334">
            <v>0.70030000000000003</v>
          </cell>
          <cell r="F1334">
            <v>0.90280000000000005</v>
          </cell>
          <cell r="G1334">
            <v>0.99580000000000002</v>
          </cell>
          <cell r="H1334">
            <v>0.85019999999999996</v>
          </cell>
        </row>
        <row r="1335">
          <cell r="B1335" t="str">
            <v>Raquisha Weathers</v>
          </cell>
          <cell r="C1335">
            <v>296</v>
          </cell>
          <cell r="D1335">
            <v>0.88139999999999996</v>
          </cell>
          <cell r="E1335">
            <v>0.78090000000000004</v>
          </cell>
          <cell r="F1335">
            <v>0.9274</v>
          </cell>
          <cell r="G1335">
            <v>0.90680000000000005</v>
          </cell>
          <cell r="H1335">
            <v>0.86760000000000004</v>
          </cell>
        </row>
        <row r="1336">
          <cell r="B1336" t="str">
            <v>D'Andrea Carter</v>
          </cell>
          <cell r="C1336">
            <v>294</v>
          </cell>
          <cell r="D1336">
            <v>0.80230000000000001</v>
          </cell>
          <cell r="E1336">
            <v>0.70789999999999997</v>
          </cell>
          <cell r="F1336">
            <v>0.91069999999999995</v>
          </cell>
          <cell r="G1336">
            <v>0.95509999999999995</v>
          </cell>
          <cell r="H1336">
            <v>0.82179999999999997</v>
          </cell>
        </row>
        <row r="1337">
          <cell r="B1337" t="str">
            <v>Ashton Wilson</v>
          </cell>
          <cell r="C1337">
            <v>294</v>
          </cell>
          <cell r="D1337">
            <v>0.75339999999999996</v>
          </cell>
          <cell r="E1337">
            <v>0.69610000000000005</v>
          </cell>
          <cell r="F1337">
            <v>0.89870000000000005</v>
          </cell>
          <cell r="G1337">
            <v>0.98699999999999999</v>
          </cell>
          <cell r="H1337">
            <v>0.80320000000000003</v>
          </cell>
        </row>
        <row r="1338">
          <cell r="B1338" t="str">
            <v>Laura Gates</v>
          </cell>
          <cell r="C1338">
            <v>290</v>
          </cell>
          <cell r="D1338">
            <v>0.9385</v>
          </cell>
          <cell r="E1338">
            <v>0.70430000000000004</v>
          </cell>
          <cell r="F1338">
            <v>0.91679999999999995</v>
          </cell>
          <cell r="G1338">
            <v>0.90600000000000003</v>
          </cell>
          <cell r="H1338">
            <v>0.85850000000000004</v>
          </cell>
        </row>
        <row r="1339">
          <cell r="B1339" t="str">
            <v>Harry Schlitz</v>
          </cell>
          <cell r="C1339">
            <v>286</v>
          </cell>
          <cell r="D1339">
            <v>0.91279999999999994</v>
          </cell>
          <cell r="E1339">
            <v>0.7127</v>
          </cell>
          <cell r="F1339">
            <v>0.91839999999999999</v>
          </cell>
          <cell r="G1339">
            <v>0.91549999999999998</v>
          </cell>
          <cell r="H1339">
            <v>0.85470000000000002</v>
          </cell>
        </row>
        <row r="1340">
          <cell r="B1340" t="str">
            <v>Raisa Mariam</v>
          </cell>
          <cell r="C1340">
            <v>286</v>
          </cell>
          <cell r="D1340">
            <v>0.94440000000000002</v>
          </cell>
          <cell r="E1340">
            <v>0.61639999999999995</v>
          </cell>
          <cell r="F1340">
            <v>0.79920000000000002</v>
          </cell>
          <cell r="G1340">
            <v>0.98599999999999999</v>
          </cell>
          <cell r="H1340">
            <v>0.80659999999999998</v>
          </cell>
        </row>
        <row r="1341">
          <cell r="B1341" t="str">
            <v>Shakela Jones</v>
          </cell>
          <cell r="C1341">
            <v>285</v>
          </cell>
          <cell r="D1341">
            <v>0.82699999999999996</v>
          </cell>
          <cell r="E1341">
            <v>0.74380000000000002</v>
          </cell>
          <cell r="F1341">
            <v>0.90049999999999997</v>
          </cell>
          <cell r="G1341">
            <v>0.91249999999999998</v>
          </cell>
          <cell r="H1341">
            <v>0.83260000000000001</v>
          </cell>
        </row>
        <row r="1342">
          <cell r="B1342" t="str">
            <v>Jaymie Smallwood</v>
          </cell>
          <cell r="C1342">
            <v>274</v>
          </cell>
          <cell r="D1342">
            <v>0.94779999999999998</v>
          </cell>
          <cell r="E1342">
            <v>0.66590000000000005</v>
          </cell>
          <cell r="F1342">
            <v>0.9496</v>
          </cell>
          <cell r="G1342">
            <v>0.99770000000000003</v>
          </cell>
          <cell r="H1342">
            <v>0.86880000000000002</v>
          </cell>
        </row>
        <row r="1343">
          <cell r="B1343" t="str">
            <v>Leviticus Torres</v>
          </cell>
          <cell r="C1343">
            <v>274</v>
          </cell>
          <cell r="D1343">
            <v>0.81989999999999996</v>
          </cell>
          <cell r="E1343">
            <v>0.74629999999999996</v>
          </cell>
          <cell r="F1343">
            <v>0.90229999999999999</v>
          </cell>
          <cell r="G1343">
            <v>0.85199999999999998</v>
          </cell>
          <cell r="H1343">
            <v>0.82579999999999998</v>
          </cell>
        </row>
        <row r="1344">
          <cell r="B1344" t="str">
            <v>Amber Pfaender</v>
          </cell>
          <cell r="C1344">
            <v>266</v>
          </cell>
          <cell r="D1344">
            <v>0.91379999999999995</v>
          </cell>
          <cell r="E1344">
            <v>0.73370000000000002</v>
          </cell>
          <cell r="F1344">
            <v>0.90610000000000002</v>
          </cell>
          <cell r="G1344">
            <v>0.60419999999999996</v>
          </cell>
          <cell r="H1344">
            <v>0.82650000000000001</v>
          </cell>
        </row>
        <row r="1345">
          <cell r="B1345" t="str">
            <v>Elaine Copeland-Locks</v>
          </cell>
          <cell r="C1345">
            <v>251</v>
          </cell>
          <cell r="D1345">
            <v>0.7167</v>
          </cell>
          <cell r="E1345">
            <v>0.62670000000000003</v>
          </cell>
          <cell r="F1345">
            <v>0.97470000000000001</v>
          </cell>
          <cell r="G1345">
            <v>0.99909999999999999</v>
          </cell>
          <cell r="H1345">
            <v>0.79530000000000001</v>
          </cell>
        </row>
        <row r="1346">
          <cell r="B1346" t="str">
            <v>Precious Williams</v>
          </cell>
          <cell r="C1346">
            <v>251</v>
          </cell>
          <cell r="D1346">
            <v>0.89839999999999998</v>
          </cell>
          <cell r="E1346">
            <v>0.7419</v>
          </cell>
          <cell r="F1346">
            <v>0.89939999999999998</v>
          </cell>
          <cell r="G1346">
            <v>0.96030000000000004</v>
          </cell>
          <cell r="H1346">
            <v>0.8579</v>
          </cell>
        </row>
        <row r="1347">
          <cell r="B1347" t="str">
            <v>Tamekia Mitchell</v>
          </cell>
          <cell r="C1347">
            <v>244</v>
          </cell>
          <cell r="D1347">
            <v>0.84260000000000002</v>
          </cell>
          <cell r="E1347">
            <v>0.70479999999999998</v>
          </cell>
          <cell r="F1347">
            <v>0.84450000000000003</v>
          </cell>
          <cell r="G1347">
            <v>0.97140000000000004</v>
          </cell>
          <cell r="H1347">
            <v>0.81469999999999998</v>
          </cell>
        </row>
        <row r="1348">
          <cell r="B1348" t="str">
            <v>Jailyn Chess</v>
          </cell>
          <cell r="C1348">
            <v>240</v>
          </cell>
          <cell r="D1348">
            <v>0.96150000000000002</v>
          </cell>
          <cell r="E1348">
            <v>0.6663</v>
          </cell>
          <cell r="F1348">
            <v>0.84689999999999999</v>
          </cell>
          <cell r="G1348">
            <v>0.99480000000000002</v>
          </cell>
          <cell r="H1348">
            <v>0.84189999999999998</v>
          </cell>
        </row>
        <row r="1349">
          <cell r="B1349" t="str">
            <v>Brianna Griffin</v>
          </cell>
          <cell r="C1349">
            <v>238</v>
          </cell>
          <cell r="D1349">
            <v>0.9103</v>
          </cell>
          <cell r="E1349">
            <v>0.65659999999999996</v>
          </cell>
          <cell r="F1349">
            <v>0.89239999999999997</v>
          </cell>
          <cell r="G1349">
            <v>0.998</v>
          </cell>
          <cell r="H1349">
            <v>0.83760000000000001</v>
          </cell>
        </row>
        <row r="1350">
          <cell r="B1350" t="str">
            <v>Malika Kater</v>
          </cell>
          <cell r="C1350">
            <v>231</v>
          </cell>
          <cell r="D1350">
            <v>0.82420000000000004</v>
          </cell>
          <cell r="E1350">
            <v>0.68779999999999997</v>
          </cell>
          <cell r="F1350">
            <v>0.9</v>
          </cell>
          <cell r="G1350">
            <v>0.99480000000000002</v>
          </cell>
          <cell r="H1350">
            <v>0.82310000000000005</v>
          </cell>
        </row>
        <row r="1351">
          <cell r="B1351" t="str">
            <v>Kayla Drake</v>
          </cell>
          <cell r="C1351">
            <v>222</v>
          </cell>
          <cell r="D1351">
            <v>0.85199999999999998</v>
          </cell>
          <cell r="E1351">
            <v>0.81259999999999999</v>
          </cell>
          <cell r="F1351">
            <v>0.8841</v>
          </cell>
          <cell r="G1351">
            <v>0.9728</v>
          </cell>
          <cell r="H1351">
            <v>0.8619</v>
          </cell>
        </row>
        <row r="1352">
          <cell r="B1352" t="str">
            <v>Monica Lockwood</v>
          </cell>
          <cell r="C1352">
            <v>221</v>
          </cell>
        </row>
        <row r="1353">
          <cell r="B1353" t="str">
            <v>Briana Ramirez</v>
          </cell>
          <cell r="C1353">
            <v>219</v>
          </cell>
          <cell r="D1353">
            <v>0.9617</v>
          </cell>
          <cell r="E1353">
            <v>0.82410000000000005</v>
          </cell>
          <cell r="F1353">
            <v>0.91</v>
          </cell>
          <cell r="G1353">
            <v>0.9859</v>
          </cell>
          <cell r="H1353">
            <v>0.9073</v>
          </cell>
        </row>
        <row r="1354">
          <cell r="B1354" t="str">
            <v>Michael Protsman</v>
          </cell>
          <cell r="C1354">
            <v>218</v>
          </cell>
        </row>
        <row r="1355">
          <cell r="B1355" t="str">
            <v>Destiny Davenport-Wright</v>
          </cell>
          <cell r="C1355">
            <v>215</v>
          </cell>
          <cell r="D1355">
            <v>0.93610000000000004</v>
          </cell>
          <cell r="E1355">
            <v>0.75590000000000002</v>
          </cell>
          <cell r="F1355">
            <v>0.90690000000000004</v>
          </cell>
          <cell r="G1355">
            <v>0.90900000000000003</v>
          </cell>
          <cell r="H1355">
            <v>0.87060000000000004</v>
          </cell>
        </row>
        <row r="1356">
          <cell r="B1356" t="str">
            <v>Jamaya Morris</v>
          </cell>
          <cell r="C1356">
            <v>212</v>
          </cell>
          <cell r="D1356">
            <v>0.90720000000000001</v>
          </cell>
          <cell r="E1356">
            <v>0.72699999999999998</v>
          </cell>
          <cell r="F1356">
            <v>0.88400000000000001</v>
          </cell>
          <cell r="G1356">
            <v>0.99380000000000002</v>
          </cell>
          <cell r="H1356">
            <v>0.85489999999999999</v>
          </cell>
        </row>
        <row r="1357">
          <cell r="B1357" t="str">
            <v>Tartiyunia Thomas</v>
          </cell>
          <cell r="C1357">
            <v>210</v>
          </cell>
          <cell r="D1357">
            <v>0.96879999999999999</v>
          </cell>
          <cell r="E1357">
            <v>0.71619999999999995</v>
          </cell>
          <cell r="F1357">
            <v>0.997</v>
          </cell>
          <cell r="G1357">
            <v>0.98329999999999995</v>
          </cell>
          <cell r="H1357">
            <v>0.90290000000000004</v>
          </cell>
        </row>
        <row r="1358">
          <cell r="B1358" t="str">
            <v>Alexander Marroquin</v>
          </cell>
          <cell r="C1358">
            <v>186</v>
          </cell>
          <cell r="D1358">
            <v>0.9788</v>
          </cell>
          <cell r="E1358">
            <v>0.64829999999999999</v>
          </cell>
          <cell r="F1358">
            <v>0.96709999999999996</v>
          </cell>
          <cell r="G1358">
            <v>0.99429999999999996</v>
          </cell>
          <cell r="H1358">
            <v>0.87770000000000004</v>
          </cell>
        </row>
        <row r="1359">
          <cell r="B1359" t="str">
            <v>Ashley Gibbons</v>
          </cell>
          <cell r="C1359">
            <v>185</v>
          </cell>
        </row>
        <row r="1360">
          <cell r="B1360" t="str">
            <v>Rosely Thomas</v>
          </cell>
          <cell r="C1360">
            <v>185</v>
          </cell>
        </row>
        <row r="1361">
          <cell r="B1361" t="str">
            <v>Chantell Butler</v>
          </cell>
          <cell r="C1361">
            <v>184</v>
          </cell>
          <cell r="D1361">
            <v>1</v>
          </cell>
          <cell r="E1361">
            <v>0.65700000000000003</v>
          </cell>
          <cell r="F1361">
            <v>0.88329999999999997</v>
          </cell>
          <cell r="G1361">
            <v>0.99439999999999995</v>
          </cell>
          <cell r="H1361">
            <v>0.86150000000000004</v>
          </cell>
        </row>
        <row r="1362">
          <cell r="B1362" t="str">
            <v>Charmaine Christmas</v>
          </cell>
          <cell r="C1362">
            <v>175</v>
          </cell>
          <cell r="D1362">
            <v>0.98409999999999997</v>
          </cell>
          <cell r="E1362">
            <v>0.67359999999999998</v>
          </cell>
          <cell r="F1362">
            <v>0.95730000000000004</v>
          </cell>
          <cell r="G1362">
            <v>0.99239999999999995</v>
          </cell>
          <cell r="H1362">
            <v>0.88370000000000004</v>
          </cell>
        </row>
        <row r="1363">
          <cell r="B1363" t="str">
            <v>JD Wagner</v>
          </cell>
          <cell r="C1363">
            <v>170</v>
          </cell>
        </row>
        <row r="1364">
          <cell r="B1364" t="str">
            <v>Nakia Oliphant</v>
          </cell>
          <cell r="C1364">
            <v>160</v>
          </cell>
          <cell r="D1364">
            <v>0.96030000000000004</v>
          </cell>
          <cell r="E1364">
            <v>0.69950000000000001</v>
          </cell>
          <cell r="F1364">
            <v>0.92510000000000003</v>
          </cell>
          <cell r="G1364">
            <v>0.9929</v>
          </cell>
          <cell r="H1364">
            <v>0.87480000000000002</v>
          </cell>
        </row>
        <row r="1365">
          <cell r="B1365" t="str">
            <v>Heidi Kjerengtroen</v>
          </cell>
          <cell r="C1365">
            <v>157</v>
          </cell>
        </row>
        <row r="1366">
          <cell r="B1366" t="str">
            <v>Whitney Savoy</v>
          </cell>
          <cell r="C1366">
            <v>152</v>
          </cell>
          <cell r="D1366">
            <v>0.89059999999999995</v>
          </cell>
          <cell r="E1366">
            <v>0.71450000000000002</v>
          </cell>
          <cell r="F1366">
            <v>0.81699999999999995</v>
          </cell>
          <cell r="G1366">
            <v>0.99119999999999997</v>
          </cell>
          <cell r="H1366">
            <v>0.82569999999999999</v>
          </cell>
        </row>
        <row r="1367">
          <cell r="B1367" t="str">
            <v>Montel Ridge</v>
          </cell>
          <cell r="C1367">
            <v>137</v>
          </cell>
        </row>
        <row r="1368">
          <cell r="B1368" t="str">
            <v>Amanda Sulzbach</v>
          </cell>
          <cell r="C1368">
            <v>134</v>
          </cell>
        </row>
        <row r="1369">
          <cell r="B1369" t="str">
            <v>Tytianna Collins</v>
          </cell>
          <cell r="C1369">
            <v>132</v>
          </cell>
        </row>
        <row r="1370">
          <cell r="B1370" t="str">
            <v>Jackie Whitehead</v>
          </cell>
          <cell r="C1370">
            <v>130</v>
          </cell>
        </row>
        <row r="1371">
          <cell r="B1371" t="str">
            <v>Carmillia Wright</v>
          </cell>
          <cell r="C1371">
            <v>127</v>
          </cell>
        </row>
        <row r="1372">
          <cell r="B1372" t="str">
            <v>Tara Foster</v>
          </cell>
          <cell r="C1372">
            <v>123</v>
          </cell>
        </row>
        <row r="1373">
          <cell r="B1373" t="str">
            <v>Jarrod Showers</v>
          </cell>
          <cell r="C1373">
            <v>119</v>
          </cell>
        </row>
        <row r="1374">
          <cell r="B1374" t="str">
            <v>Stacey Mosley</v>
          </cell>
          <cell r="C1374">
            <v>119</v>
          </cell>
          <cell r="D1374">
            <v>0.90380000000000005</v>
          </cell>
          <cell r="E1374">
            <v>0.67</v>
          </cell>
          <cell r="F1374">
            <v>0.83299999999999996</v>
          </cell>
          <cell r="G1374">
            <v>0.92859999999999998</v>
          </cell>
          <cell r="H1374">
            <v>0.81489999999999996</v>
          </cell>
        </row>
        <row r="1375">
          <cell r="B1375" t="str">
            <v>Megan Jackson</v>
          </cell>
          <cell r="C1375">
            <v>118</v>
          </cell>
          <cell r="D1375">
            <v>0.91900000000000004</v>
          </cell>
          <cell r="E1375">
            <v>0.76290000000000002</v>
          </cell>
          <cell r="F1375">
            <v>0.85780000000000001</v>
          </cell>
          <cell r="G1375">
            <v>0.97729999999999995</v>
          </cell>
          <cell r="H1375">
            <v>0.85960000000000003</v>
          </cell>
        </row>
        <row r="1376">
          <cell r="B1376" t="str">
            <v>David Thompson</v>
          </cell>
          <cell r="C1376">
            <v>117</v>
          </cell>
        </row>
        <row r="1377">
          <cell r="B1377" t="str">
            <v>Lakiesha Choyce</v>
          </cell>
          <cell r="C1377">
            <v>115</v>
          </cell>
          <cell r="D1377">
            <v>0.94179999999999997</v>
          </cell>
          <cell r="E1377">
            <v>0.72309999999999997</v>
          </cell>
          <cell r="F1377">
            <v>0.92720000000000002</v>
          </cell>
          <cell r="G1377">
            <v>1</v>
          </cell>
          <cell r="H1377">
            <v>0.87760000000000005</v>
          </cell>
        </row>
        <row r="1378">
          <cell r="B1378" t="str">
            <v>Stacie Verdine</v>
          </cell>
          <cell r="C1378">
            <v>115</v>
          </cell>
        </row>
        <row r="1379">
          <cell r="B1379" t="str">
            <v>Sania Ataiee</v>
          </cell>
          <cell r="C1379">
            <v>112</v>
          </cell>
        </row>
        <row r="1380">
          <cell r="B1380" t="str">
            <v>Allison Chapman</v>
          </cell>
          <cell r="C1380">
            <v>107</v>
          </cell>
          <cell r="D1380">
            <v>0.91810000000000003</v>
          </cell>
          <cell r="E1380">
            <v>0.75609999999999999</v>
          </cell>
          <cell r="F1380">
            <v>0.92589999999999995</v>
          </cell>
          <cell r="G1380">
            <v>0.86570000000000003</v>
          </cell>
          <cell r="H1380">
            <v>0.86660000000000004</v>
          </cell>
        </row>
        <row r="1381">
          <cell r="B1381" t="str">
            <v>Tajah Mccullough</v>
          </cell>
          <cell r="C1381">
            <v>104</v>
          </cell>
          <cell r="D1381">
            <v>0.75390000000000001</v>
          </cell>
          <cell r="E1381">
            <v>0.63600000000000001</v>
          </cell>
          <cell r="F1381">
            <v>0.90190000000000003</v>
          </cell>
          <cell r="G1381">
            <v>0.94420000000000004</v>
          </cell>
          <cell r="H1381">
            <v>0.78190000000000004</v>
          </cell>
        </row>
        <row r="1382">
          <cell r="B1382" t="str">
            <v>Leah Terry</v>
          </cell>
          <cell r="C1382">
            <v>99</v>
          </cell>
          <cell r="D1382">
            <v>0.88109999999999999</v>
          </cell>
          <cell r="E1382">
            <v>0.68179999999999996</v>
          </cell>
          <cell r="F1382">
            <v>0.95699999999999996</v>
          </cell>
          <cell r="G1382">
            <v>0.90769999999999995</v>
          </cell>
          <cell r="H1382">
            <v>0.84670000000000001</v>
          </cell>
        </row>
        <row r="1383">
          <cell r="B1383" t="str">
            <v>Breonna Moore</v>
          </cell>
          <cell r="C1383">
            <v>67</v>
          </cell>
          <cell r="D1383">
            <v>0.93720000000000003</v>
          </cell>
          <cell r="E1383">
            <v>0.75390000000000001</v>
          </cell>
          <cell r="F1383">
            <v>0.9748</v>
          </cell>
          <cell r="G1383">
            <v>0.94440000000000002</v>
          </cell>
          <cell r="H1383">
            <v>0.89419999999999999</v>
          </cell>
        </row>
        <row r="1384">
          <cell r="B1384" t="str">
            <v>Bashay Malone</v>
          </cell>
          <cell r="C1384">
            <v>62</v>
          </cell>
          <cell r="D1384">
            <v>0.92220000000000002</v>
          </cell>
          <cell r="E1384">
            <v>0.72109999999999996</v>
          </cell>
          <cell r="F1384">
            <v>0.79139999999999999</v>
          </cell>
          <cell r="G1384">
            <v>0.94440000000000002</v>
          </cell>
          <cell r="H1384">
            <v>0.82479999999999998</v>
          </cell>
        </row>
        <row r="1385">
          <cell r="B1385" t="str">
            <v>ZhNya Scott</v>
          </cell>
          <cell r="C1385">
            <v>51</v>
          </cell>
          <cell r="D1385">
            <v>0.87729999999999997</v>
          </cell>
          <cell r="E1385">
            <v>0.76060000000000005</v>
          </cell>
          <cell r="F1385">
            <v>0.91979999999999995</v>
          </cell>
          <cell r="G1385">
            <v>0.98619999999999997</v>
          </cell>
          <cell r="H1385">
            <v>0.8659</v>
          </cell>
        </row>
        <row r="1386">
          <cell r="B1386" t="str">
            <v>Damia Hughes</v>
          </cell>
          <cell r="C1386">
            <v>50</v>
          </cell>
          <cell r="D1386">
            <v>0.90100000000000002</v>
          </cell>
          <cell r="E1386">
            <v>0.50870000000000004</v>
          </cell>
          <cell r="F1386">
            <v>0.90469999999999995</v>
          </cell>
          <cell r="G1386">
            <v>0.9667</v>
          </cell>
          <cell r="H1386">
            <v>0.79100000000000004</v>
          </cell>
        </row>
        <row r="1387">
          <cell r="B1387" t="str">
            <v>Lark Slaughter</v>
          </cell>
          <cell r="C1387">
            <v>50</v>
          </cell>
          <cell r="D1387">
            <v>0.90949999999999998</v>
          </cell>
          <cell r="E1387">
            <v>0.7379</v>
          </cell>
          <cell r="F1387">
            <v>0.83599999999999997</v>
          </cell>
          <cell r="G1387">
            <v>0.75</v>
          </cell>
          <cell r="H1387">
            <v>0.82</v>
          </cell>
        </row>
        <row r="1388">
          <cell r="B1388" t="str">
            <v>Lataya Perkins</v>
          </cell>
          <cell r="C1388">
            <v>49</v>
          </cell>
          <cell r="E1388">
            <v>0.63490000000000002</v>
          </cell>
          <cell r="G1388">
            <v>1</v>
          </cell>
        </row>
        <row r="1389">
          <cell r="B1389" t="str">
            <v>Ragan Mayfield</v>
          </cell>
          <cell r="C1389">
            <v>43</v>
          </cell>
          <cell r="D1389">
            <v>0.81620000000000004</v>
          </cell>
          <cell r="E1389">
            <v>0.49209999999999998</v>
          </cell>
          <cell r="F1389">
            <v>0.95</v>
          </cell>
          <cell r="G1389">
            <v>0.99409999999999998</v>
          </cell>
          <cell r="H1389">
            <v>0.77690000000000003</v>
          </cell>
        </row>
        <row r="1390">
          <cell r="B1390" t="str">
            <v>Jodell Rosefort</v>
          </cell>
          <cell r="C1390">
            <v>39</v>
          </cell>
          <cell r="D1390">
            <v>0.82599999999999996</v>
          </cell>
          <cell r="E1390">
            <v>0.81030000000000002</v>
          </cell>
          <cell r="F1390">
            <v>0.94969999999999999</v>
          </cell>
          <cell r="G1390">
            <v>0.68889999999999996</v>
          </cell>
          <cell r="H1390">
            <v>0.84470000000000001</v>
          </cell>
        </row>
        <row r="1391">
          <cell r="B1391" t="str">
            <v>Anita Jones</v>
          </cell>
          <cell r="C1391">
            <v>39</v>
          </cell>
          <cell r="D1391">
            <v>0.9153</v>
          </cell>
          <cell r="E1391">
            <v>0.79369999999999996</v>
          </cell>
          <cell r="F1391">
            <v>1</v>
          </cell>
          <cell r="G1391">
            <v>1</v>
          </cell>
          <cell r="H1391">
            <v>0.91269999999999996</v>
          </cell>
        </row>
        <row r="1392">
          <cell r="B1392" t="str">
            <v>Tyler Blanton</v>
          </cell>
          <cell r="C1392">
            <v>35</v>
          </cell>
          <cell r="D1392">
            <v>0.89829999999999999</v>
          </cell>
          <cell r="E1392">
            <v>0.71989999999999998</v>
          </cell>
          <cell r="F1392">
            <v>0.87949999999999995</v>
          </cell>
          <cell r="G1392">
            <v>0.9778</v>
          </cell>
          <cell r="H1392">
            <v>0.84709999999999996</v>
          </cell>
        </row>
        <row r="1393">
          <cell r="B1393" t="str">
            <v>Ren Grover</v>
          </cell>
          <cell r="C1393">
            <v>35</v>
          </cell>
          <cell r="D1393">
            <v>0.88890000000000002</v>
          </cell>
          <cell r="E1393">
            <v>0.92859999999999998</v>
          </cell>
          <cell r="F1393">
            <v>1</v>
          </cell>
          <cell r="G1393">
            <v>1</v>
          </cell>
          <cell r="H1393">
            <v>0.94520000000000004</v>
          </cell>
        </row>
        <row r="1394">
          <cell r="B1394" t="str">
            <v>Jaderekica Graham</v>
          </cell>
          <cell r="C1394">
            <v>33</v>
          </cell>
          <cell r="E1394">
            <v>0.67859999999999998</v>
          </cell>
          <cell r="F1394">
            <v>0.84099999999999997</v>
          </cell>
          <cell r="G1394">
            <v>1</v>
          </cell>
        </row>
        <row r="1395">
          <cell r="B1395" t="str">
            <v>Alexus Hopkins</v>
          </cell>
          <cell r="C1395">
            <v>29</v>
          </cell>
          <cell r="E1395">
            <v>0.81899999999999995</v>
          </cell>
          <cell r="F1395">
            <v>0.86129999999999995</v>
          </cell>
        </row>
        <row r="1396">
          <cell r="B1396" t="str">
            <v>Kasey Stokes</v>
          </cell>
          <cell r="C1396">
            <v>25</v>
          </cell>
          <cell r="E1396">
            <v>0.53039999999999998</v>
          </cell>
          <cell r="F1396">
            <v>0.61160000000000003</v>
          </cell>
        </row>
        <row r="1397">
          <cell r="B1397" t="str">
            <v>Janiel Ricciard</v>
          </cell>
          <cell r="C1397">
            <v>24</v>
          </cell>
          <cell r="E1397">
            <v>0.73340000000000005</v>
          </cell>
          <cell r="F1397">
            <v>0.86339999999999995</v>
          </cell>
        </row>
        <row r="1398">
          <cell r="B1398" t="str">
            <v>Carrie Ellis</v>
          </cell>
          <cell r="C1398">
            <v>21</v>
          </cell>
          <cell r="E1398">
            <v>0.82679999999999998</v>
          </cell>
          <cell r="F1398">
            <v>0.85919999999999996</v>
          </cell>
        </row>
        <row r="1399">
          <cell r="B1399" t="str">
            <v>Tamesha Taylor</v>
          </cell>
          <cell r="C1399">
            <v>20</v>
          </cell>
          <cell r="E1399">
            <v>0.7117</v>
          </cell>
          <cell r="F1399">
            <v>0.8952</v>
          </cell>
        </row>
        <row r="1400">
          <cell r="B1400" t="str">
            <v>Tia Brown</v>
          </cell>
          <cell r="C1400">
            <v>19</v>
          </cell>
          <cell r="E1400">
            <v>0.76480000000000004</v>
          </cell>
          <cell r="F1400">
            <v>0.76659999999999995</v>
          </cell>
        </row>
        <row r="1401">
          <cell r="B1401" t="str">
            <v>Steven Fernandez</v>
          </cell>
          <cell r="C1401">
            <v>19</v>
          </cell>
          <cell r="E1401">
            <v>0.7077</v>
          </cell>
          <cell r="F1401">
            <v>0.91169999999999995</v>
          </cell>
        </row>
        <row r="1402">
          <cell r="B1402" t="str">
            <v>Melinda Trosper</v>
          </cell>
          <cell r="C1402">
            <v>16</v>
          </cell>
          <cell r="D1402">
            <v>0.88890000000000002</v>
          </cell>
          <cell r="E1402">
            <v>0.6603</v>
          </cell>
          <cell r="F1402">
            <v>0.92659999999999998</v>
          </cell>
          <cell r="G1402">
            <v>1</v>
          </cell>
          <cell r="H1402">
            <v>0.8427</v>
          </cell>
        </row>
        <row r="1403">
          <cell r="B1403" t="str">
            <v>Candice Darymple</v>
          </cell>
          <cell r="C1403">
            <v>16</v>
          </cell>
          <cell r="E1403">
            <v>0.751</v>
          </cell>
          <cell r="F1403">
            <v>0.94040000000000001</v>
          </cell>
          <cell r="G1403">
            <v>0.8</v>
          </cell>
        </row>
        <row r="1404">
          <cell r="B1404" t="str">
            <v>Joice Martinez</v>
          </cell>
          <cell r="C1404">
            <v>15</v>
          </cell>
          <cell r="E1404">
            <v>0.65810000000000002</v>
          </cell>
          <cell r="F1404">
            <v>0.7177</v>
          </cell>
        </row>
        <row r="1405">
          <cell r="B1405" t="str">
            <v>Iteschia Nyakundi</v>
          </cell>
          <cell r="C1405">
            <v>14</v>
          </cell>
          <cell r="E1405">
            <v>0.78580000000000005</v>
          </cell>
          <cell r="F1405">
            <v>0.91249999999999998</v>
          </cell>
        </row>
        <row r="1406">
          <cell r="B1406" t="str">
            <v>Taylor Davis</v>
          </cell>
          <cell r="C1406">
            <v>13</v>
          </cell>
          <cell r="E1406">
            <v>0.60260000000000002</v>
          </cell>
          <cell r="G1406">
            <v>0.95</v>
          </cell>
        </row>
        <row r="1407">
          <cell r="B1407" t="str">
            <v>Pecola Daniels</v>
          </cell>
          <cell r="C1407">
            <v>13</v>
          </cell>
          <cell r="F1407">
            <v>0.81479999999999997</v>
          </cell>
          <cell r="G1407">
            <v>0.91669999999999996</v>
          </cell>
        </row>
        <row r="1408">
          <cell r="B1408" t="str">
            <v>Shun Neal</v>
          </cell>
          <cell r="C1408">
            <v>13</v>
          </cell>
          <cell r="E1408">
            <v>0.70730000000000004</v>
          </cell>
          <cell r="F1408">
            <v>0.89019999999999999</v>
          </cell>
        </row>
        <row r="1409">
          <cell r="B1409" t="str">
            <v>Anjellika Zimmer</v>
          </cell>
          <cell r="C1409">
            <v>12</v>
          </cell>
          <cell r="D1409">
            <v>0.92059999999999997</v>
          </cell>
          <cell r="E1409">
            <v>0.6825</v>
          </cell>
          <cell r="F1409">
            <v>0.96</v>
          </cell>
          <cell r="G1409">
            <v>1</v>
          </cell>
          <cell r="H1409">
            <v>0.86899999999999999</v>
          </cell>
        </row>
        <row r="1410">
          <cell r="B1410" t="str">
            <v>Sherri Smith</v>
          </cell>
          <cell r="C1410">
            <v>10</v>
          </cell>
          <cell r="E1410">
            <v>0.6714</v>
          </cell>
          <cell r="F1410">
            <v>0.82369999999999999</v>
          </cell>
        </row>
        <row r="1411">
          <cell r="B1411" t="str">
            <v>Vilma Reeves</v>
          </cell>
          <cell r="C1411">
            <v>10</v>
          </cell>
          <cell r="E1411">
            <v>0.61609999999999998</v>
          </cell>
          <cell r="F1411">
            <v>0.85189999999999999</v>
          </cell>
          <cell r="G1411">
            <v>0.8</v>
          </cell>
        </row>
        <row r="1412">
          <cell r="B1412" t="str">
            <v>Kayla Bethea</v>
          </cell>
          <cell r="C1412">
            <v>9</v>
          </cell>
          <cell r="E1412">
            <v>0.71050000000000002</v>
          </cell>
          <cell r="F1412">
            <v>0.83330000000000004</v>
          </cell>
          <cell r="G1412">
            <v>1</v>
          </cell>
        </row>
        <row r="1413">
          <cell r="B1413" t="str">
            <v>Elvia Salazar</v>
          </cell>
          <cell r="C1413">
            <v>9</v>
          </cell>
          <cell r="E1413">
            <v>0.66610000000000003</v>
          </cell>
          <cell r="F1413">
            <v>0.75970000000000004</v>
          </cell>
        </row>
        <row r="1414">
          <cell r="B1414" t="str">
            <v>Mario Garcia</v>
          </cell>
          <cell r="C1414">
            <v>9</v>
          </cell>
          <cell r="D1414">
            <v>0.80269999999999997</v>
          </cell>
          <cell r="E1414">
            <v>0.49209999999999998</v>
          </cell>
          <cell r="G1414">
            <v>1</v>
          </cell>
        </row>
        <row r="1415">
          <cell r="B1415" t="str">
            <v>Shanquisha Dickinson</v>
          </cell>
          <cell r="C1415">
            <v>9</v>
          </cell>
          <cell r="E1415">
            <v>0.65080000000000005</v>
          </cell>
          <cell r="F1415">
            <v>0.90669999999999995</v>
          </cell>
        </row>
        <row r="1416">
          <cell r="B1416" t="str">
            <v>Gabriela Carter</v>
          </cell>
          <cell r="C1416">
            <v>8</v>
          </cell>
          <cell r="E1416">
            <v>0.90480000000000005</v>
          </cell>
          <cell r="F1416">
            <v>0.88</v>
          </cell>
          <cell r="G1416">
            <v>1</v>
          </cell>
        </row>
        <row r="1417">
          <cell r="B1417" t="str">
            <v>Temeca Brown</v>
          </cell>
          <cell r="C1417">
            <v>8</v>
          </cell>
          <cell r="D1417">
            <v>0.98409999999999997</v>
          </cell>
          <cell r="E1417">
            <v>0.67420000000000002</v>
          </cell>
          <cell r="F1417">
            <v>0.92</v>
          </cell>
        </row>
        <row r="1418">
          <cell r="B1418" t="str">
            <v>Shawna Sharp</v>
          </cell>
          <cell r="C1418">
            <v>7</v>
          </cell>
          <cell r="E1418">
            <v>0.84289999999999998</v>
          </cell>
          <cell r="F1418">
            <v>0.90569999999999995</v>
          </cell>
        </row>
        <row r="1419">
          <cell r="B1419" t="str">
            <v>Sam Caballero</v>
          </cell>
          <cell r="C1419">
            <v>7</v>
          </cell>
          <cell r="E1419">
            <v>0.74470000000000003</v>
          </cell>
          <cell r="F1419">
            <v>0.80389999999999995</v>
          </cell>
        </row>
        <row r="1420">
          <cell r="B1420" t="str">
            <v>Richard Kirkpatrick</v>
          </cell>
          <cell r="C1420">
            <v>7</v>
          </cell>
          <cell r="E1420">
            <v>0.49209999999999998</v>
          </cell>
          <cell r="G1420">
            <v>1</v>
          </cell>
        </row>
        <row r="1421">
          <cell r="B1421" t="str">
            <v>Jessica Mayfield</v>
          </cell>
          <cell r="C1421">
            <v>7</v>
          </cell>
          <cell r="E1421">
            <v>0.67459999999999998</v>
          </cell>
          <cell r="F1421">
            <v>0.65690000000000004</v>
          </cell>
        </row>
        <row r="1422">
          <cell r="B1422" t="str">
            <v>Eriel Traylor</v>
          </cell>
          <cell r="C1422">
            <v>5</v>
          </cell>
          <cell r="E1422">
            <v>0.73670000000000002</v>
          </cell>
          <cell r="F1422">
            <v>0.9194</v>
          </cell>
        </row>
        <row r="1423">
          <cell r="B1423" t="str">
            <v>Shana Cooper</v>
          </cell>
          <cell r="C1423">
            <v>5</v>
          </cell>
          <cell r="E1423">
            <v>0.70630000000000004</v>
          </cell>
          <cell r="F1423">
            <v>0.92</v>
          </cell>
        </row>
        <row r="1424">
          <cell r="B1424" t="str">
            <v>Tra-mea Loveless</v>
          </cell>
          <cell r="C1424">
            <v>4</v>
          </cell>
          <cell r="E1424">
            <v>0.76280000000000003</v>
          </cell>
          <cell r="F1424">
            <v>0.95</v>
          </cell>
        </row>
        <row r="1425">
          <cell r="B1425" t="str">
            <v>Jonae Moore</v>
          </cell>
          <cell r="C1425">
            <v>4</v>
          </cell>
          <cell r="D1425">
            <v>0.98409999999999997</v>
          </cell>
          <cell r="E1425">
            <v>0.71430000000000005</v>
          </cell>
          <cell r="F1425">
            <v>0.84309999999999996</v>
          </cell>
        </row>
        <row r="1426">
          <cell r="B1426" t="str">
            <v>Patricia Wells</v>
          </cell>
          <cell r="C1426">
            <v>4</v>
          </cell>
          <cell r="E1426">
            <v>0.95179999999999998</v>
          </cell>
          <cell r="F1426">
            <v>0.89</v>
          </cell>
        </row>
        <row r="1427">
          <cell r="B1427" t="str">
            <v>Ashlee Stone</v>
          </cell>
          <cell r="C1427">
            <v>4</v>
          </cell>
          <cell r="E1427">
            <v>0.5423</v>
          </cell>
          <cell r="F1427">
            <v>0.24</v>
          </cell>
        </row>
        <row r="1428">
          <cell r="B1428" t="str">
            <v>Shanasia Bennett</v>
          </cell>
          <cell r="C1428">
            <v>3</v>
          </cell>
          <cell r="E1428">
            <v>0.71960000000000002</v>
          </cell>
        </row>
        <row r="1429">
          <cell r="B1429" t="str">
            <v>Zachary Burrough</v>
          </cell>
          <cell r="C1429">
            <v>3</v>
          </cell>
          <cell r="F1429">
            <v>0.95450000000000002</v>
          </cell>
        </row>
        <row r="1430">
          <cell r="B1430" t="str">
            <v>Tyonia Johnson</v>
          </cell>
          <cell r="C1430">
            <v>3</v>
          </cell>
          <cell r="E1430">
            <v>0.6825</v>
          </cell>
          <cell r="F1430">
            <v>1</v>
          </cell>
        </row>
        <row r="1431">
          <cell r="B1431" t="str">
            <v>Iyania Shavers</v>
          </cell>
          <cell r="C1431">
            <v>3</v>
          </cell>
          <cell r="E1431">
            <v>0.64180000000000004</v>
          </cell>
        </row>
        <row r="1432">
          <cell r="B1432" t="str">
            <v>Shameeka Jones</v>
          </cell>
          <cell r="C1432">
            <v>2</v>
          </cell>
          <cell r="E1432">
            <v>0.66669999999999996</v>
          </cell>
          <cell r="F1432">
            <v>0.60780000000000001</v>
          </cell>
        </row>
        <row r="1433">
          <cell r="B1433" t="str">
            <v>Jacquisha Lewis</v>
          </cell>
          <cell r="C1433">
            <v>2</v>
          </cell>
          <cell r="E1433">
            <v>0.6825</v>
          </cell>
          <cell r="F1433">
            <v>0.7419</v>
          </cell>
        </row>
        <row r="1434">
          <cell r="B1434" t="str">
            <v>Jacqueline Tusing</v>
          </cell>
          <cell r="C1434">
            <v>2</v>
          </cell>
          <cell r="E1434">
            <v>0.65269999999999995</v>
          </cell>
        </row>
        <row r="1435">
          <cell r="B1435" t="str">
            <v>Christina Marble</v>
          </cell>
          <cell r="C1435">
            <v>2</v>
          </cell>
          <cell r="F1435">
            <v>0.90200000000000002</v>
          </cell>
        </row>
        <row r="1436">
          <cell r="B1436" t="str">
            <v>Joshua Bound</v>
          </cell>
          <cell r="C1436">
            <v>2</v>
          </cell>
          <cell r="E1436">
            <v>0.8095</v>
          </cell>
          <cell r="F1436">
            <v>0.92</v>
          </cell>
        </row>
        <row r="1437">
          <cell r="B1437" t="str">
            <v>Symariea Grigsby</v>
          </cell>
          <cell r="C1437">
            <v>2</v>
          </cell>
          <cell r="E1437">
            <v>0.65849999999999997</v>
          </cell>
          <cell r="F1437">
            <v>1</v>
          </cell>
        </row>
        <row r="1438">
          <cell r="B1438" t="str">
            <v>Fine Baker</v>
          </cell>
          <cell r="C1438">
            <v>2</v>
          </cell>
          <cell r="D1438">
            <v>0.84750000000000003</v>
          </cell>
          <cell r="F1438">
            <v>1</v>
          </cell>
        </row>
        <row r="1439">
          <cell r="B1439" t="str">
            <v>Tanea Ferrell</v>
          </cell>
          <cell r="C1439">
            <v>2</v>
          </cell>
          <cell r="D1439">
            <v>0.5</v>
          </cell>
          <cell r="E1439">
            <v>0.53969999999999996</v>
          </cell>
        </row>
        <row r="1440">
          <cell r="B1440" t="str">
            <v>Lamar Siler</v>
          </cell>
          <cell r="C1440">
            <v>2</v>
          </cell>
          <cell r="D1440">
            <v>0.69230000000000003</v>
          </cell>
          <cell r="E1440">
            <v>0.66669999999999996</v>
          </cell>
        </row>
        <row r="1441">
          <cell r="B1441" t="str">
            <v>Maria Acuna</v>
          </cell>
          <cell r="C1441">
            <v>2</v>
          </cell>
          <cell r="E1441">
            <v>0.71430000000000005</v>
          </cell>
        </row>
        <row r="1442">
          <cell r="B1442" t="str">
            <v>Alison Powell</v>
          </cell>
          <cell r="C1442">
            <v>2</v>
          </cell>
          <cell r="E1442">
            <v>0.8095</v>
          </cell>
          <cell r="F1442">
            <v>0.54349999999999998</v>
          </cell>
        </row>
        <row r="1443">
          <cell r="B1443" t="str">
            <v>Keanna Williams</v>
          </cell>
          <cell r="C1443">
            <v>2</v>
          </cell>
          <cell r="E1443">
            <v>0.60319999999999996</v>
          </cell>
          <cell r="F1443">
            <v>0.88</v>
          </cell>
        </row>
        <row r="1444">
          <cell r="B1444" t="str">
            <v>Becky Dockter</v>
          </cell>
          <cell r="C1444">
            <v>2</v>
          </cell>
          <cell r="E1444">
            <v>0.75570000000000004</v>
          </cell>
        </row>
        <row r="1445">
          <cell r="B1445" t="str">
            <v>Sabrina Turk</v>
          </cell>
          <cell r="C1445">
            <v>1</v>
          </cell>
          <cell r="E1445">
            <v>0.53969999999999996</v>
          </cell>
        </row>
        <row r="1446">
          <cell r="B1446" t="str">
            <v>Christina Marcy</v>
          </cell>
          <cell r="C1446">
            <v>1</v>
          </cell>
          <cell r="G1446">
            <v>1</v>
          </cell>
        </row>
        <row r="1447">
          <cell r="B1447" t="str">
            <v>Jasmine Reliford</v>
          </cell>
          <cell r="C1447">
            <v>1</v>
          </cell>
          <cell r="D1447">
            <v>0.92059999999999997</v>
          </cell>
        </row>
        <row r="1448">
          <cell r="B1448" t="str">
            <v>Megan Elder</v>
          </cell>
          <cell r="C1448">
            <v>1</v>
          </cell>
          <cell r="D1448">
            <v>0.50790000000000002</v>
          </cell>
        </row>
        <row r="1449">
          <cell r="B1449" t="str">
            <v>Precious Grant</v>
          </cell>
          <cell r="C1449">
            <v>1</v>
          </cell>
          <cell r="E1449">
            <v>0.73019999999999996</v>
          </cell>
        </row>
        <row r="1450">
          <cell r="B1450" t="str">
            <v>Tabitha Pierre</v>
          </cell>
          <cell r="C1450">
            <v>1</v>
          </cell>
          <cell r="F1450">
            <v>1</v>
          </cell>
        </row>
        <row r="1451">
          <cell r="B1451" t="str">
            <v>Kiera Carter</v>
          </cell>
          <cell r="C1451">
            <v>1</v>
          </cell>
          <cell r="D1451">
            <v>0.98360000000000003</v>
          </cell>
        </row>
        <row r="1452">
          <cell r="B1452" t="str">
            <v>Angelica Fields</v>
          </cell>
          <cell r="C1452">
            <v>1</v>
          </cell>
          <cell r="D1452">
            <v>0.86360000000000003</v>
          </cell>
        </row>
        <row r="1453">
          <cell r="B1453" t="str">
            <v>Brittany Hart</v>
          </cell>
          <cell r="C1453">
            <v>1</v>
          </cell>
          <cell r="E1453">
            <v>0.50790000000000002</v>
          </cell>
        </row>
        <row r="1454">
          <cell r="B1454" t="str">
            <v>Margaret Hoggard</v>
          </cell>
          <cell r="C1454">
            <v>1</v>
          </cell>
          <cell r="E1454">
            <v>1</v>
          </cell>
        </row>
        <row r="1455">
          <cell r="B1455" t="str">
            <v>Doshanay Simpson</v>
          </cell>
          <cell r="C1455">
            <v>1</v>
          </cell>
          <cell r="D1455">
            <v>1</v>
          </cell>
        </row>
        <row r="1456">
          <cell r="B1456" t="str">
            <v>Lukeria Hence</v>
          </cell>
          <cell r="C1456">
            <v>1</v>
          </cell>
          <cell r="D1456">
            <v>0.92059999999999997</v>
          </cell>
        </row>
        <row r="1457">
          <cell r="B1457" t="str">
            <v>Drew Cloutier</v>
          </cell>
          <cell r="C1457">
            <v>1</v>
          </cell>
          <cell r="E1457">
            <v>0.746</v>
          </cell>
        </row>
        <row r="1458">
          <cell r="B1458" t="str">
            <v>Christina Stewart</v>
          </cell>
          <cell r="C1458">
            <v>1</v>
          </cell>
          <cell r="F1458">
            <v>0.62</v>
          </cell>
        </row>
        <row r="1459">
          <cell r="B1459" t="str">
            <v>Joel Ruiz</v>
          </cell>
          <cell r="C1459">
            <v>1</v>
          </cell>
          <cell r="E1459">
            <v>0.8095</v>
          </cell>
        </row>
        <row r="1460">
          <cell r="B1460" t="str">
            <v>Paï¿½Mela Senegal</v>
          </cell>
          <cell r="C1460">
            <v>1</v>
          </cell>
          <cell r="G1460">
            <v>0</v>
          </cell>
        </row>
        <row r="1461">
          <cell r="B1461" t="str">
            <v>Tatum Jackson</v>
          </cell>
          <cell r="C1461">
            <v>1</v>
          </cell>
          <cell r="G1461">
            <v>1</v>
          </cell>
        </row>
        <row r="1462">
          <cell r="B1462" t="str">
            <v>Skyler Lynch</v>
          </cell>
          <cell r="C1462">
            <v>1</v>
          </cell>
          <cell r="F1462">
            <v>1</v>
          </cell>
        </row>
        <row r="1463">
          <cell r="B1463" t="str">
            <v>Shannon Lawrence</v>
          </cell>
          <cell r="C1463">
            <v>1</v>
          </cell>
          <cell r="F1463">
            <v>0.96</v>
          </cell>
        </row>
        <row r="1464">
          <cell r="B1464" t="str">
            <v>Amber Krehbiel</v>
          </cell>
          <cell r="C1464">
            <v>1</v>
          </cell>
          <cell r="F1464">
            <v>1</v>
          </cell>
        </row>
        <row r="1465">
          <cell r="B1465" t="str">
            <v>Autumn Allen</v>
          </cell>
          <cell r="C1465">
            <v>1</v>
          </cell>
          <cell r="E1465">
            <v>0.6825</v>
          </cell>
        </row>
        <row r="1466">
          <cell r="B1466" t="str">
            <v>Michelle McCoy</v>
          </cell>
          <cell r="C1466">
            <v>1</v>
          </cell>
          <cell r="E1466">
            <v>0.8095</v>
          </cell>
        </row>
        <row r="1467">
          <cell r="B1467" t="str">
            <v>Christiyuana Lovett</v>
          </cell>
          <cell r="C1467">
            <v>1</v>
          </cell>
          <cell r="F1467">
            <v>1</v>
          </cell>
        </row>
        <row r="1468">
          <cell r="B1468" t="str">
            <v>DeAnna Nalls</v>
          </cell>
          <cell r="C1468">
            <v>1</v>
          </cell>
          <cell r="E1468">
            <v>0.77780000000000005</v>
          </cell>
        </row>
        <row r="1469">
          <cell r="B1469" t="str">
            <v>Christine Cook</v>
          </cell>
          <cell r="C1469">
            <v>1</v>
          </cell>
          <cell r="E1469">
            <v>0.90380000000000005</v>
          </cell>
        </row>
      </sheetData>
      <sheetData sheetId="4" refreshError="1">
        <row r="122">
          <cell r="A122" t="str">
            <v>Allison Lambright</v>
          </cell>
          <cell r="B122" t="str">
            <v>Alicia Martinez Romero</v>
          </cell>
          <cell r="C122" t="str">
            <v>Senture 1</v>
          </cell>
        </row>
        <row r="123">
          <cell r="A123" t="str">
            <v>Allison Lambright</v>
          </cell>
          <cell r="B123" t="str">
            <v>Antavian Taylor</v>
          </cell>
          <cell r="C123" t="str">
            <v>Senture 1</v>
          </cell>
        </row>
        <row r="124">
          <cell r="A124" t="str">
            <v>Allison Lambright</v>
          </cell>
          <cell r="B124" t="str">
            <v>Beatriz Alvarado</v>
          </cell>
          <cell r="C124" t="str">
            <v>Senture 1</v>
          </cell>
        </row>
        <row r="125">
          <cell r="A125" t="str">
            <v>Allison Lambright</v>
          </cell>
          <cell r="B125" t="str">
            <v>Charlincia Montgomery</v>
          </cell>
          <cell r="C125" t="str">
            <v>Senture 1</v>
          </cell>
        </row>
        <row r="126">
          <cell r="A126" t="str">
            <v>Allison Lambright</v>
          </cell>
          <cell r="B126" t="str">
            <v>Erin Underwood</v>
          </cell>
          <cell r="C126" t="str">
            <v>Senture 1</v>
          </cell>
        </row>
        <row r="127">
          <cell r="A127" t="str">
            <v>Allison Lambright</v>
          </cell>
          <cell r="B127" t="str">
            <v>Heather Cash</v>
          </cell>
          <cell r="C127" t="str">
            <v>Senture 1</v>
          </cell>
        </row>
        <row r="128">
          <cell r="A128" t="str">
            <v>Allison Lambright</v>
          </cell>
          <cell r="B128" t="str">
            <v>Janice Winston</v>
          </cell>
          <cell r="C128" t="str">
            <v>Senture 1</v>
          </cell>
        </row>
        <row r="129">
          <cell r="A129" t="str">
            <v>Allison Lambright</v>
          </cell>
          <cell r="B129" t="str">
            <v>Keysanah Baldwin</v>
          </cell>
          <cell r="C129" t="str">
            <v>Senture 1</v>
          </cell>
        </row>
        <row r="130">
          <cell r="A130" t="str">
            <v>Allison Lambright</v>
          </cell>
          <cell r="B130" t="str">
            <v>Kiarra Grandison</v>
          </cell>
          <cell r="C130" t="str">
            <v>Senture 1</v>
          </cell>
        </row>
        <row r="131">
          <cell r="A131" t="str">
            <v>Allison Lambright</v>
          </cell>
          <cell r="B131" t="str">
            <v>Lauren Morgan</v>
          </cell>
          <cell r="C131" t="str">
            <v>Senture 1</v>
          </cell>
        </row>
        <row r="132">
          <cell r="A132" t="str">
            <v>Allison Lambright</v>
          </cell>
          <cell r="B132" t="str">
            <v>Rachel Garcia</v>
          </cell>
          <cell r="C132" t="str">
            <v>Senture 1</v>
          </cell>
        </row>
        <row r="133">
          <cell r="A133" t="str">
            <v>Allison Lambright</v>
          </cell>
          <cell r="B133" t="str">
            <v>Samantha Walker</v>
          </cell>
          <cell r="C133" t="str">
            <v>Senture 1</v>
          </cell>
        </row>
        <row r="134">
          <cell r="A134" t="str">
            <v>Allison Lambright</v>
          </cell>
          <cell r="B134" t="str">
            <v>Yazli Yerena</v>
          </cell>
          <cell r="C134" t="str">
            <v>Senture 1</v>
          </cell>
        </row>
        <row r="135">
          <cell r="A135" t="str">
            <v>Allison Lambright</v>
          </cell>
          <cell r="B135" t="str">
            <v>Yvonne Barbee</v>
          </cell>
          <cell r="C135" t="str">
            <v>Senture 1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F194-EE4D-4B9B-A8F6-4AD7E8F4B2DD}">
  <sheetPr>
    <tabColor rgb="FF0B162A"/>
  </sheetPr>
  <dimension ref="F2:BJ28"/>
  <sheetViews>
    <sheetView tabSelected="1" zoomScale="85" zoomScaleNormal="85" workbookViewId="0">
      <selection activeCell="S6" sqref="S6"/>
    </sheetView>
  </sheetViews>
  <sheetFormatPr defaultColWidth="9.08984375" defaultRowHeight="14.5" x14ac:dyDescent="0.35"/>
  <cols>
    <col min="1" max="1" width="1.6328125" style="122" customWidth="1"/>
    <col min="2" max="4" width="9.08984375" style="122"/>
    <col min="5" max="5" width="1.6328125" style="122" customWidth="1"/>
    <col min="6" max="6" width="17.6328125" style="122" bestFit="1" customWidth="1"/>
    <col min="7" max="7" width="9.08984375" style="122"/>
    <col min="8" max="8" width="1.6328125" style="122" customWidth="1"/>
    <col min="9" max="10" width="11.90625" style="122" customWidth="1"/>
    <col min="11" max="11" width="1.6328125" style="122" customWidth="1"/>
    <col min="12" max="12" width="19.54296875" style="122" customWidth="1"/>
    <col min="13" max="13" width="9.08984375" style="122"/>
    <col min="14" max="14" width="1.6328125" style="122" customWidth="1"/>
    <col min="15" max="17" width="9.08984375" style="122"/>
    <col min="18" max="18" width="1.6328125" style="122" customWidth="1"/>
    <col min="19" max="19" width="17.6328125" style="122" bestFit="1" customWidth="1"/>
    <col min="20" max="20" width="9.08984375" style="122"/>
    <col min="21" max="21" width="8.08984375" style="122" bestFit="1" customWidth="1"/>
    <col min="22" max="22" width="11.6328125" style="132" bestFit="1" customWidth="1"/>
    <col min="23" max="23" width="9.6328125" style="122" bestFit="1" customWidth="1"/>
    <col min="24" max="24" width="10.6328125" style="122" bestFit="1" customWidth="1"/>
    <col min="25" max="25" width="11.08984375" style="122" bestFit="1" customWidth="1"/>
    <col min="26" max="26" width="11.453125" style="122" bestFit="1" customWidth="1"/>
    <col min="27" max="27" width="1.6328125" style="122" customWidth="1"/>
    <col min="28" max="28" width="19.36328125" style="122" bestFit="1" customWidth="1"/>
    <col min="29" max="29" width="7.36328125" style="122" bestFit="1" customWidth="1"/>
    <col min="30" max="30" width="4.6328125" style="122" bestFit="1" customWidth="1"/>
    <col min="31" max="31" width="11.6328125" style="122" bestFit="1" customWidth="1"/>
    <col min="32" max="32" width="9.6328125" style="122" bestFit="1" customWidth="1"/>
    <col min="33" max="33" width="10.6328125" style="122" bestFit="1" customWidth="1"/>
    <col min="34" max="34" width="11.08984375" style="122" bestFit="1" customWidth="1"/>
    <col min="35" max="35" width="11.453125" style="122" bestFit="1" customWidth="1"/>
    <col min="36" max="36" width="1.1796875" style="122" customWidth="1"/>
    <col min="37" max="37" width="17.453125" style="122" bestFit="1" customWidth="1"/>
    <col min="38" max="39" width="9.08984375" style="122"/>
    <col min="40" max="40" width="11.36328125" style="122" bestFit="1" customWidth="1"/>
    <col min="41" max="41" width="9.08984375" style="122"/>
    <col min="42" max="42" width="10.54296875" style="122" bestFit="1" customWidth="1"/>
    <col min="43" max="43" width="10.81640625" style="122" bestFit="1" customWidth="1"/>
    <col min="44" max="44" width="11.08984375" style="122" bestFit="1" customWidth="1"/>
    <col min="45" max="45" width="2" style="122" customWidth="1"/>
    <col min="46" max="46" width="17.453125" style="122" bestFit="1" customWidth="1"/>
    <col min="47" max="48" width="9.08984375" style="122"/>
    <col min="49" max="49" width="11.36328125" style="122" bestFit="1" customWidth="1"/>
    <col min="50" max="50" width="9.08984375" style="122"/>
    <col min="51" max="51" width="10.54296875" style="122" bestFit="1" customWidth="1"/>
    <col min="52" max="52" width="10.81640625" style="122" bestFit="1" customWidth="1"/>
    <col min="53" max="53" width="11.08984375" style="122" bestFit="1" customWidth="1"/>
    <col min="54" max="54" width="2.54296875" style="122" customWidth="1"/>
    <col min="55" max="55" width="17.453125" style="122" bestFit="1" customWidth="1"/>
    <col min="56" max="56" width="5.90625" style="122" customWidth="1"/>
    <col min="57" max="57" width="6.6328125" style="122" bestFit="1" customWidth="1"/>
    <col min="58" max="58" width="11.36328125" style="122" bestFit="1" customWidth="1"/>
    <col min="59" max="59" width="9.54296875" style="122" bestFit="1" customWidth="1"/>
    <col min="60" max="60" width="10.54296875" style="122" bestFit="1" customWidth="1"/>
    <col min="61" max="61" width="10.81640625" style="122" bestFit="1" customWidth="1"/>
    <col min="62" max="62" width="11.08984375" style="122" bestFit="1" customWidth="1"/>
    <col min="63" max="16384" width="9.08984375" style="122"/>
  </cols>
  <sheetData>
    <row r="2" spans="6:62" x14ac:dyDescent="0.35">
      <c r="S2" s="198" t="s">
        <v>63</v>
      </c>
      <c r="T2" s="199"/>
      <c r="U2" s="199"/>
      <c r="V2" s="199"/>
      <c r="W2" s="199"/>
      <c r="X2" s="190" t="s">
        <v>68</v>
      </c>
      <c r="Y2" s="190"/>
      <c r="Z2" s="191"/>
      <c r="AB2" s="198" t="s">
        <v>63</v>
      </c>
      <c r="AC2" s="199"/>
      <c r="AD2" s="199"/>
      <c r="AE2" s="199"/>
      <c r="AF2" s="199"/>
      <c r="AG2" s="190" t="s">
        <v>67</v>
      </c>
      <c r="AH2" s="190"/>
      <c r="AI2" s="191"/>
      <c r="AK2" s="198" t="s">
        <v>63</v>
      </c>
      <c r="AL2" s="199"/>
      <c r="AM2" s="199"/>
      <c r="AN2" s="199"/>
      <c r="AO2" s="199"/>
      <c r="AP2" s="190" t="s">
        <v>66</v>
      </c>
      <c r="AQ2" s="190"/>
      <c r="AR2" s="191"/>
      <c r="AT2" s="198" t="s">
        <v>63</v>
      </c>
      <c r="AU2" s="199"/>
      <c r="AV2" s="199"/>
      <c r="AW2" s="199"/>
      <c r="AX2" s="199"/>
      <c r="AY2" s="190" t="s">
        <v>65</v>
      </c>
      <c r="AZ2" s="190"/>
      <c r="BA2" s="191"/>
      <c r="BC2" s="198" t="s">
        <v>63</v>
      </c>
      <c r="BD2" s="199"/>
      <c r="BE2" s="199"/>
      <c r="BF2" s="199"/>
      <c r="BG2" s="199"/>
      <c r="BH2" s="190" t="s">
        <v>64</v>
      </c>
      <c r="BI2" s="190"/>
      <c r="BJ2" s="191"/>
    </row>
    <row r="3" spans="6:62" x14ac:dyDescent="0.35">
      <c r="S3" s="123" t="s">
        <v>1</v>
      </c>
      <c r="T3" s="123" t="s">
        <v>16</v>
      </c>
      <c r="U3" s="123" t="s">
        <v>46</v>
      </c>
      <c r="V3" s="124" t="s">
        <v>12</v>
      </c>
      <c r="W3" s="123" t="s">
        <v>17</v>
      </c>
      <c r="X3" s="123" t="s">
        <v>18</v>
      </c>
      <c r="Y3" s="123" t="s">
        <v>19</v>
      </c>
      <c r="Z3" s="123" t="s">
        <v>20</v>
      </c>
      <c r="AB3" s="123" t="s">
        <v>1</v>
      </c>
      <c r="AC3" s="123" t="s">
        <v>16</v>
      </c>
      <c r="AD3" s="123" t="s">
        <v>46</v>
      </c>
      <c r="AE3" s="124" t="s">
        <v>12</v>
      </c>
      <c r="AF3" s="123" t="s">
        <v>17</v>
      </c>
      <c r="AG3" s="123" t="s">
        <v>18</v>
      </c>
      <c r="AH3" s="123" t="s">
        <v>19</v>
      </c>
      <c r="AI3" s="123" t="s">
        <v>20</v>
      </c>
      <c r="AK3" s="123" t="s">
        <v>1</v>
      </c>
      <c r="AL3" s="123" t="s">
        <v>16</v>
      </c>
      <c r="AM3" s="123" t="s">
        <v>46</v>
      </c>
      <c r="AN3" s="124" t="s">
        <v>12</v>
      </c>
      <c r="AO3" s="123" t="s">
        <v>17</v>
      </c>
      <c r="AP3" s="123" t="s">
        <v>18</v>
      </c>
      <c r="AQ3" s="123" t="s">
        <v>19</v>
      </c>
      <c r="AR3" s="123" t="s">
        <v>20</v>
      </c>
      <c r="AT3" s="123" t="s">
        <v>1</v>
      </c>
      <c r="AU3" s="123" t="s">
        <v>16</v>
      </c>
      <c r="AV3" s="123" t="s">
        <v>46</v>
      </c>
      <c r="AW3" s="124" t="s">
        <v>12</v>
      </c>
      <c r="AX3" s="123" t="s">
        <v>17</v>
      </c>
      <c r="AY3" s="123" t="s">
        <v>18</v>
      </c>
      <c r="AZ3" s="123" t="s">
        <v>19</v>
      </c>
      <c r="BA3" s="123" t="s">
        <v>20</v>
      </c>
      <c r="BC3" s="123" t="s">
        <v>1</v>
      </c>
      <c r="BD3" s="123" t="s">
        <v>16</v>
      </c>
      <c r="BE3" s="123" t="s">
        <v>46</v>
      </c>
      <c r="BF3" s="124" t="s">
        <v>12</v>
      </c>
      <c r="BG3" s="123" t="s">
        <v>17</v>
      </c>
      <c r="BH3" s="123" t="s">
        <v>18</v>
      </c>
      <c r="BI3" s="123" t="s">
        <v>19</v>
      </c>
      <c r="BJ3" s="123" t="s">
        <v>20</v>
      </c>
    </row>
    <row r="4" spans="6:62" x14ac:dyDescent="0.35">
      <c r="S4" s="174" t="str">
        <f>IF(ISBLANK(Teams!$E3),"",Teams!$E3)</f>
        <v>Rachel Garcia</v>
      </c>
      <c r="T4" s="175">
        <f>IF(ISBLANK(S4),"",_xlfn.XLOOKUP(S4,'Week 1'!$A:$A,'Week 1'!$B:$B))</f>
        <v>0.66700000000000004</v>
      </c>
      <c r="U4" s="175">
        <f>IF(ISBLANK(S4),"",_xlfn.XLOOKUP(S4,'Week 1'!$A:$A,'Week 1'!$D:$D))</f>
        <v>1.1446153846153846</v>
      </c>
      <c r="V4" s="176">
        <f>IF(ISBLANK(S4),"",_xlfn.XLOOKUP(S4,'Week 1'!$A:$A,'Week 1'!$E:$E))</f>
        <v>0.95299999999999996</v>
      </c>
      <c r="W4" s="177">
        <f>IF(ISBLANK(S4),"",_xlfn.XLOOKUP(S4,'Week 1'!$A:$A,'Week 1'!$F:$F))</f>
        <v>0</v>
      </c>
      <c r="X4" s="177">
        <f>IF(ISBLANK(S4),"",_xlfn.XLOOKUP(S4,'Week 1'!$A:$A,'Week 1'!$G:$G))</f>
        <v>2</v>
      </c>
      <c r="Y4" s="177">
        <f>IF(ISBLANK(S4),"",_xlfn.XLOOKUP(S4,'Week 1'!$A:$A,'Week 1'!$H:$H))</f>
        <v>3</v>
      </c>
      <c r="Z4" s="178">
        <f>IF(ISBLANK(S4),"",SUM(W4:Y4))</f>
        <v>5</v>
      </c>
      <c r="AA4" s="179"/>
      <c r="AB4" s="174" t="str">
        <f>IF(ISBLANK(Teams!$E3),"",Teams!$E3)</f>
        <v>Rachel Garcia</v>
      </c>
      <c r="AC4" s="175" t="str">
        <f>IF(ISBLANK(AB4),"",_xlfn.XLOOKUP(AB4,'Week 2'!$A:$A,'Week 2'!$B:$B))</f>
        <v/>
      </c>
      <c r="AD4" s="175" t="str">
        <f>IF(ISBLANK(AB4),"",_xlfn.XLOOKUP(AB4,'Week 2'!$A:$A,'Week 2'!$D:$D))</f>
        <v/>
      </c>
      <c r="AE4" s="176" t="str">
        <f>IF(ISBLANK(AB4),"",_xlfn.XLOOKUP(AB4,'Week 2'!$A:$A,'Week 2'!$E:$E))</f>
        <v/>
      </c>
      <c r="AF4" s="177">
        <f>IF(ISBLANK(AB4),"",_xlfn.XLOOKUP(AB4,'Week 2'!$A:$A,'Week 2'!$F:$F))</f>
        <v>0</v>
      </c>
      <c r="AG4" s="177">
        <f>IF(ISBLANK(AB4),"",_xlfn.XLOOKUP(AB4,'Week 2'!$A:$A,'Week 2'!$G:$G))</f>
        <v>0</v>
      </c>
      <c r="AH4" s="177">
        <f>IF(ISBLANK(AB4),"",_xlfn.XLOOKUP(AB4,'Week 2'!$A:$A,'Week 2'!$H:$H))</f>
        <v>0</v>
      </c>
      <c r="AI4" s="178">
        <f>IF(ISBLANK(AB4),"",SUM(AF4:AH4))</f>
        <v>0</v>
      </c>
      <c r="AJ4" s="179"/>
      <c r="AK4" s="174" t="str">
        <f>IF(ISBLANK(Teams!$E3),"",Teams!$E3)</f>
        <v>Rachel Garcia</v>
      </c>
      <c r="AL4" s="175" t="str">
        <f>IF(ISBLANK(AK4),"",_xlfn.XLOOKUP(AK4,'Week 3'!$A:$A,'Week 3'!$B:$B))</f>
        <v/>
      </c>
      <c r="AM4" s="175" t="str">
        <f>IF(ISBLANK(AK4),"",_xlfn.XLOOKUP(AK4,'Week 3'!$A:$A,'Week 3'!$D:$D))</f>
        <v/>
      </c>
      <c r="AN4" s="176" t="str">
        <f>IF(ISBLANK(AK4),"",_xlfn.XLOOKUP(AK4,'Week 3'!$A:$A,'Week 3'!$E:$E))</f>
        <v/>
      </c>
      <c r="AO4" s="177">
        <f>IF(ISBLANK(AK4),"",_xlfn.XLOOKUP(AK4,'Week 3'!$A:$A,'Week 3'!$F:$F))</f>
        <v>0</v>
      </c>
      <c r="AP4" s="177">
        <f>IF(ISBLANK(AK4),"",_xlfn.XLOOKUP(AK4,'Week 3'!$A:$A,'Week 3'!$G:$G))</f>
        <v>0</v>
      </c>
      <c r="AQ4" s="177">
        <f>IF(ISBLANK(AK4),"",_xlfn.XLOOKUP(AK4,'Week 3'!$A:$A,'Week 3'!$H:$H))</f>
        <v>0</v>
      </c>
      <c r="AR4" s="178">
        <f>IF(ISBLANK(AK4),"",SUM(AO4:AQ4))</f>
        <v>0</v>
      </c>
      <c r="AS4" s="179"/>
      <c r="AT4" s="174" t="str">
        <f>IF(ISBLANK(Teams!$E3),"",Teams!$E3)</f>
        <v>Rachel Garcia</v>
      </c>
      <c r="AU4" s="175" t="str">
        <f>IF(ISBLANK(AT4),"",_xlfn.XLOOKUP(AT4,'Week 4'!$A:$A,'Week 4'!$B:$B))</f>
        <v/>
      </c>
      <c r="AV4" s="175" t="str">
        <f>IF(ISBLANK(AT4),"",_xlfn.XLOOKUP(AT4,'Week 4'!$A:$A,'Week 4'!$D:$D))</f>
        <v/>
      </c>
      <c r="AW4" s="176" t="str">
        <f>IF(ISBLANK(AT4),"",_xlfn.XLOOKUP(AT4,'Week 4'!$A:$A,'Week 4'!$E:$E))</f>
        <v/>
      </c>
      <c r="AX4" s="177">
        <f>IF(ISBLANK(AT4),"",_xlfn.XLOOKUP(AT4,'Week 4'!$A:$A,'Week 4'!$F:$F))</f>
        <v>0</v>
      </c>
      <c r="AY4" s="177">
        <f>IF(ISBLANK(AT4),"",_xlfn.XLOOKUP(AT4,'Week 4'!$A:$A,'Week 4'!$G:$G))</f>
        <v>0</v>
      </c>
      <c r="AZ4" s="177">
        <f>IF(ISBLANK(AT4),"",_xlfn.XLOOKUP(AT4,'Week 4'!$A:$A,'Week 4'!$H:$H))</f>
        <v>0</v>
      </c>
      <c r="BA4" s="178">
        <f>IF(ISBLANK(AT4),"",SUM(AX4:AZ4))</f>
        <v>0</v>
      </c>
      <c r="BB4" s="179"/>
      <c r="BC4" s="174" t="str">
        <f>IF(ISBLANK(Teams!$E3),"",Teams!$E3)</f>
        <v>Rachel Garcia</v>
      </c>
      <c r="BD4" s="175" t="str">
        <f>IF(ISBLANK(BC4),"",_xlfn.XLOOKUP(BC4,'Week 5'!$A:$A,'Week 5'!$B:$B))</f>
        <v/>
      </c>
      <c r="BE4" s="175" t="str">
        <f>IF(ISBLANK(BC4),"",_xlfn.XLOOKUP(BC4,'Week 5'!$A:$A,'Week 5'!$D:$D))</f>
        <v/>
      </c>
      <c r="BF4" s="176" t="str">
        <f>IF(ISBLANK(BC4),"",_xlfn.XLOOKUP(BC4,'Week 5'!$A:$A,'Week 5'!$E:$E))</f>
        <v/>
      </c>
      <c r="BG4" s="177">
        <f>IF(ISBLANK(BC4),"",_xlfn.XLOOKUP(BC4,'Week 5'!$A:$A,'Week 5'!$F:$F))</f>
        <v>0</v>
      </c>
      <c r="BH4" s="177">
        <f>IF(ISBLANK(BC4),"",_xlfn.XLOOKUP(BC4,'Week 5'!$A:$A,'Week 5'!$G:$G))</f>
        <v>0</v>
      </c>
      <c r="BI4" s="177">
        <f>IF(ISBLANK(BC4),"",_xlfn.XLOOKUP(BC4,'Week 5'!$A:$A,'Week 5'!$H:$H))</f>
        <v>0</v>
      </c>
      <c r="BJ4" s="178">
        <f>IF(ISBLANK(BC4),"",SUM(BG4:BI4))</f>
        <v>0</v>
      </c>
    </row>
    <row r="5" spans="6:62" x14ac:dyDescent="0.35">
      <c r="S5" s="174" t="str">
        <f>IF(ISBLANK(Teams!$E4),"",Teams!$E4)</f>
        <v>Alicia Martinez Romero</v>
      </c>
      <c r="T5" s="175">
        <f>IF(ISBLANK(S5),"",_xlfn.XLOOKUP(S5,'Week 1'!$A:$A,'Week 1'!$B:$B))</f>
        <v>0.63759999999999994</v>
      </c>
      <c r="U5" s="175">
        <f>IF(ISBLANK(S5),"",_xlfn.XLOOKUP(S5,'Week 1'!$A:$A,'Week 1'!$D:$D))</f>
        <v>1.393846153846154</v>
      </c>
      <c r="V5" s="176">
        <f>IF(ISBLANK(S5),"",_xlfn.XLOOKUP(S5,'Week 1'!$A:$A,'Week 1'!$E:$E))</f>
        <v>0.94</v>
      </c>
      <c r="W5" s="177">
        <f>IF(ISBLANK(S5),"",_xlfn.XLOOKUP(S5,'Week 1'!$A:$A,'Week 1'!$F:$F))</f>
        <v>0</v>
      </c>
      <c r="X5" s="177">
        <f>IF(ISBLANK(S5),"",_xlfn.XLOOKUP(S5,'Week 1'!$A:$A,'Week 1'!$G:$G))</f>
        <v>3</v>
      </c>
      <c r="Y5" s="177">
        <f>IF(ISBLANK(S5),"",_xlfn.XLOOKUP(S5,'Week 1'!$A:$A,'Week 1'!$H:$H))</f>
        <v>3</v>
      </c>
      <c r="Z5" s="178">
        <f t="shared" ref="Z5:Z13" si="0">IF(ISBLANK(S5),"",SUM(W5:Y5))</f>
        <v>6</v>
      </c>
      <c r="AA5" s="179"/>
      <c r="AB5" s="174" t="str">
        <f>IF(ISBLANK(Teams!$E4),"",Teams!$E4)</f>
        <v>Alicia Martinez Romero</v>
      </c>
      <c r="AC5" s="175" t="str">
        <f>IF(ISBLANK(AB5),"",_xlfn.XLOOKUP(AB5,'Week 2'!$A:$A,'Week 2'!$B:$B))</f>
        <v/>
      </c>
      <c r="AD5" s="175" t="str">
        <f>IF(ISBLANK(AB5),"",_xlfn.XLOOKUP(AB5,'Week 2'!$A:$A,'Week 2'!$D:$D))</f>
        <v/>
      </c>
      <c r="AE5" s="176" t="str">
        <f>IF(ISBLANK(AB5),"",_xlfn.XLOOKUP(AB5,'Week 2'!$A:$A,'Week 2'!$E:$E))</f>
        <v/>
      </c>
      <c r="AF5" s="177">
        <f>IF(ISBLANK(AB5),"",_xlfn.XLOOKUP(AB5,'Week 2'!$A:$A,'Week 2'!$F:$F))</f>
        <v>0</v>
      </c>
      <c r="AG5" s="177">
        <f>IF(ISBLANK(AB5),"",_xlfn.XLOOKUP(AB5,'Week 2'!$A:$A,'Week 2'!$G:$G))</f>
        <v>0</v>
      </c>
      <c r="AH5" s="177">
        <f>IF(ISBLANK(AB5),"",_xlfn.XLOOKUP(AB5,'Week 2'!$A:$A,'Week 2'!$H:$H))</f>
        <v>0</v>
      </c>
      <c r="AI5" s="178">
        <f t="shared" ref="AI5:AI13" si="1">IF(ISBLANK(AB5),"",SUM(AF5:AH5))</f>
        <v>0</v>
      </c>
      <c r="AJ5" s="179"/>
      <c r="AK5" s="174" t="str">
        <f>IF(ISBLANK(Teams!$E4),"",Teams!$E4)</f>
        <v>Alicia Martinez Romero</v>
      </c>
      <c r="AL5" s="175" t="str">
        <f>IF(ISBLANK(AK5),"",_xlfn.XLOOKUP(AK5,'Week 3'!$A:$A,'Week 3'!$B:$B))</f>
        <v/>
      </c>
      <c r="AM5" s="175" t="str">
        <f>IF(ISBLANK(AK5),"",_xlfn.XLOOKUP(AK5,'Week 3'!$A:$A,'Week 3'!$D:$D))</f>
        <v/>
      </c>
      <c r="AN5" s="176" t="str">
        <f>IF(ISBLANK(AK5),"",_xlfn.XLOOKUP(AK5,'Week 3'!$A:$A,'Week 3'!$E:$E))</f>
        <v/>
      </c>
      <c r="AO5" s="177">
        <f>IF(ISBLANK(AK5),"",_xlfn.XLOOKUP(AK5,'Week 3'!$A:$A,'Week 3'!$F:$F))</f>
        <v>0</v>
      </c>
      <c r="AP5" s="177">
        <f>IF(ISBLANK(AK5),"",_xlfn.XLOOKUP(AK5,'Week 3'!$A:$A,'Week 3'!$G:$G))</f>
        <v>0</v>
      </c>
      <c r="AQ5" s="177">
        <f>IF(ISBLANK(AK5),"",_xlfn.XLOOKUP(AK5,'Week 3'!$A:$A,'Week 3'!$H:$H))</f>
        <v>0</v>
      </c>
      <c r="AR5" s="178">
        <f t="shared" ref="AR5:AR13" si="2">IF(ISBLANK(AK5),"",SUM(AO5:AQ5))</f>
        <v>0</v>
      </c>
      <c r="AS5" s="179"/>
      <c r="AT5" s="174" t="str">
        <f>IF(ISBLANK(Teams!$E4),"",Teams!$E4)</f>
        <v>Alicia Martinez Romero</v>
      </c>
      <c r="AU5" s="175" t="str">
        <f>IF(ISBLANK(AT5),"",_xlfn.XLOOKUP(AT5,'Week 4'!$A:$A,'Week 4'!$B:$B))</f>
        <v/>
      </c>
      <c r="AV5" s="175" t="str">
        <f>IF(ISBLANK(AT5),"",_xlfn.XLOOKUP(AT5,'Week 4'!$A:$A,'Week 4'!$D:$D))</f>
        <v/>
      </c>
      <c r="AW5" s="176" t="str">
        <f>IF(ISBLANK(AT5),"",_xlfn.XLOOKUP(AT5,'Week 4'!$A:$A,'Week 4'!$E:$E))</f>
        <v/>
      </c>
      <c r="AX5" s="177">
        <f>IF(ISBLANK(AT5),"",_xlfn.XLOOKUP(AT5,'Week 4'!$A:$A,'Week 4'!$F:$F))</f>
        <v>0</v>
      </c>
      <c r="AY5" s="177">
        <f>IF(ISBLANK(AT5),"",_xlfn.XLOOKUP(AT5,'Week 4'!$A:$A,'Week 4'!$G:$G))</f>
        <v>0</v>
      </c>
      <c r="AZ5" s="177">
        <f>IF(ISBLANK(AT5),"",_xlfn.XLOOKUP(AT5,'Week 4'!$A:$A,'Week 4'!$H:$H))</f>
        <v>0</v>
      </c>
      <c r="BA5" s="178">
        <f t="shared" ref="BA5:BA13" si="3">IF(ISBLANK(AT5),"",SUM(AX5:AZ5))</f>
        <v>0</v>
      </c>
      <c r="BB5" s="179"/>
      <c r="BC5" s="174" t="str">
        <f>IF(ISBLANK(Teams!$E4),"",Teams!$E4)</f>
        <v>Alicia Martinez Romero</v>
      </c>
      <c r="BD5" s="175" t="str">
        <f>IF(ISBLANK(BC5),"",_xlfn.XLOOKUP(BC5,'Week 5'!$A:$A,'Week 5'!$B:$B))</f>
        <v/>
      </c>
      <c r="BE5" s="175" t="str">
        <f>IF(ISBLANK(BC5),"",_xlfn.XLOOKUP(BC5,'Week 5'!$A:$A,'Week 5'!$D:$D))</f>
        <v/>
      </c>
      <c r="BF5" s="176" t="str">
        <f>IF(ISBLANK(BC5),"",_xlfn.XLOOKUP(BC5,'Week 5'!$A:$A,'Week 5'!$E:$E))</f>
        <v/>
      </c>
      <c r="BG5" s="177">
        <f>IF(ISBLANK(BC5),"",_xlfn.XLOOKUP(BC5,'Week 5'!$A:$A,'Week 5'!$F:$F))</f>
        <v>0</v>
      </c>
      <c r="BH5" s="177">
        <f>IF(ISBLANK(BC5),"",_xlfn.XLOOKUP(BC5,'Week 5'!$A:$A,'Week 5'!$G:$G))</f>
        <v>0</v>
      </c>
      <c r="BI5" s="177">
        <f>IF(ISBLANK(BC5),"",_xlfn.XLOOKUP(BC5,'Week 5'!$A:$A,'Week 5'!$H:$H))</f>
        <v>0</v>
      </c>
      <c r="BJ5" s="178">
        <f t="shared" ref="BJ5:BJ13" si="4">IF(ISBLANK(BC5),"",SUM(BG5:BI5))</f>
        <v>0</v>
      </c>
    </row>
    <row r="6" spans="6:62" x14ac:dyDescent="0.35">
      <c r="S6" s="174" t="str">
        <f>IF(ISBLANK(Teams!$E5),"",Teams!$E5)</f>
        <v>Kiarra Grandison</v>
      </c>
      <c r="T6" s="175">
        <f>IF(ISBLANK(S6),"",_xlfn.XLOOKUP(S6,'Week 1'!$A:$A,'Week 1'!$B:$B))</f>
        <v>0.88170000000000004</v>
      </c>
      <c r="U6" s="175">
        <f>IF(ISBLANK(S6),"",_xlfn.XLOOKUP(S6,'Week 1'!$A:$A,'Week 1'!$D:$D))</f>
        <v>1.0553846153846154</v>
      </c>
      <c r="V6" s="176">
        <f>IF(ISBLANK(S6),"",_xlfn.XLOOKUP(S6,'Week 1'!$A:$A,'Week 1'!$E:$E))</f>
        <v>0.91</v>
      </c>
      <c r="W6" s="177">
        <f>IF(ISBLANK(S6),"",_xlfn.XLOOKUP(S6,'Week 1'!$A:$A,'Week 1'!$F:$F))</f>
        <v>2</v>
      </c>
      <c r="X6" s="177">
        <f>IF(ISBLANK(S6),"",_xlfn.XLOOKUP(S6,'Week 1'!$A:$A,'Week 1'!$G:$G))</f>
        <v>2</v>
      </c>
      <c r="Y6" s="177">
        <f>IF(ISBLANK(S6),"",_xlfn.XLOOKUP(S6,'Week 1'!$A:$A,'Week 1'!$H:$H))</f>
        <v>3</v>
      </c>
      <c r="Z6" s="178">
        <f t="shared" si="0"/>
        <v>7</v>
      </c>
      <c r="AA6" s="179"/>
      <c r="AB6" s="174" t="str">
        <f>IF(ISBLANK(Teams!$E5),"",Teams!$E5)</f>
        <v>Kiarra Grandison</v>
      </c>
      <c r="AC6" s="175" t="str">
        <f>IF(ISBLANK(AB6),"",_xlfn.XLOOKUP(AB6,'Week 2'!$A:$A,'Week 2'!$B:$B))</f>
        <v/>
      </c>
      <c r="AD6" s="175" t="str">
        <f>IF(ISBLANK(AB6),"",_xlfn.XLOOKUP(AB6,'Week 2'!$A:$A,'Week 2'!$D:$D))</f>
        <v/>
      </c>
      <c r="AE6" s="176" t="str">
        <f>IF(ISBLANK(AB6),"",_xlfn.XLOOKUP(AB6,'Week 2'!$A:$A,'Week 2'!$E:$E))</f>
        <v/>
      </c>
      <c r="AF6" s="177">
        <f>IF(ISBLANK(AB6),"",_xlfn.XLOOKUP(AB6,'Week 2'!$A:$A,'Week 2'!$F:$F))</f>
        <v>0</v>
      </c>
      <c r="AG6" s="177">
        <f>IF(ISBLANK(AB6),"",_xlfn.XLOOKUP(AB6,'Week 2'!$A:$A,'Week 2'!$G:$G))</f>
        <v>0</v>
      </c>
      <c r="AH6" s="177">
        <f>IF(ISBLANK(AB6),"",_xlfn.XLOOKUP(AB6,'Week 2'!$A:$A,'Week 2'!$H:$H))</f>
        <v>0</v>
      </c>
      <c r="AI6" s="178">
        <f t="shared" si="1"/>
        <v>0</v>
      </c>
      <c r="AJ6" s="179"/>
      <c r="AK6" s="174" t="str">
        <f>IF(ISBLANK(Teams!$E5),"",Teams!$E5)</f>
        <v>Kiarra Grandison</v>
      </c>
      <c r="AL6" s="175" t="str">
        <f>IF(ISBLANK(AK6),"",_xlfn.XLOOKUP(AK6,'Week 3'!$A:$A,'Week 3'!$B:$B))</f>
        <v/>
      </c>
      <c r="AM6" s="175" t="str">
        <f>IF(ISBLANK(AK6),"",_xlfn.XLOOKUP(AK6,'Week 3'!$A:$A,'Week 3'!$D:$D))</f>
        <v/>
      </c>
      <c r="AN6" s="176" t="str">
        <f>IF(ISBLANK(AK6),"",_xlfn.XLOOKUP(AK6,'Week 3'!$A:$A,'Week 3'!$E:$E))</f>
        <v/>
      </c>
      <c r="AO6" s="177">
        <f>IF(ISBLANK(AK6),"",_xlfn.XLOOKUP(AK6,'Week 3'!$A:$A,'Week 3'!$F:$F))</f>
        <v>0</v>
      </c>
      <c r="AP6" s="177">
        <f>IF(ISBLANK(AK6),"",_xlfn.XLOOKUP(AK6,'Week 3'!$A:$A,'Week 3'!$G:$G))</f>
        <v>0</v>
      </c>
      <c r="AQ6" s="177">
        <f>IF(ISBLANK(AK6),"",_xlfn.XLOOKUP(AK6,'Week 3'!$A:$A,'Week 3'!$H:$H))</f>
        <v>0</v>
      </c>
      <c r="AR6" s="178">
        <f t="shared" si="2"/>
        <v>0</v>
      </c>
      <c r="AS6" s="179"/>
      <c r="AT6" s="174" t="str">
        <f>IF(ISBLANK(Teams!$E5),"",Teams!$E5)</f>
        <v>Kiarra Grandison</v>
      </c>
      <c r="AU6" s="175" t="str">
        <f>IF(ISBLANK(AT6),"",_xlfn.XLOOKUP(AT6,'Week 4'!$A:$A,'Week 4'!$B:$B))</f>
        <v/>
      </c>
      <c r="AV6" s="175" t="str">
        <f>IF(ISBLANK(AT6),"",_xlfn.XLOOKUP(AT6,'Week 4'!$A:$A,'Week 4'!$D:$D))</f>
        <v/>
      </c>
      <c r="AW6" s="176" t="str">
        <f>IF(ISBLANK(AT6),"",_xlfn.XLOOKUP(AT6,'Week 4'!$A:$A,'Week 4'!$E:$E))</f>
        <v/>
      </c>
      <c r="AX6" s="177">
        <f>IF(ISBLANK(AT6),"",_xlfn.XLOOKUP(AT6,'Week 4'!$A:$A,'Week 4'!$F:$F))</f>
        <v>0</v>
      </c>
      <c r="AY6" s="177">
        <f>IF(ISBLANK(AT6),"",_xlfn.XLOOKUP(AT6,'Week 4'!$A:$A,'Week 4'!$G:$G))</f>
        <v>0</v>
      </c>
      <c r="AZ6" s="177">
        <f>IF(ISBLANK(AT6),"",_xlfn.XLOOKUP(AT6,'Week 4'!$A:$A,'Week 4'!$H:$H))</f>
        <v>0</v>
      </c>
      <c r="BA6" s="178">
        <f t="shared" si="3"/>
        <v>0</v>
      </c>
      <c r="BB6" s="179"/>
      <c r="BC6" s="174" t="str">
        <f>IF(ISBLANK(Teams!$E5),"",Teams!$E5)</f>
        <v>Kiarra Grandison</v>
      </c>
      <c r="BD6" s="175" t="str">
        <f>IF(ISBLANK(BC6),"",_xlfn.XLOOKUP(BC6,'Week 5'!$A:$A,'Week 5'!$B:$B))</f>
        <v/>
      </c>
      <c r="BE6" s="175" t="str">
        <f>IF(ISBLANK(BC6),"",_xlfn.XLOOKUP(BC6,'Week 5'!$A:$A,'Week 5'!$D:$D))</f>
        <v/>
      </c>
      <c r="BF6" s="176" t="str">
        <f>IF(ISBLANK(BC6),"",_xlfn.XLOOKUP(BC6,'Week 5'!$A:$A,'Week 5'!$E:$E))</f>
        <v/>
      </c>
      <c r="BG6" s="177">
        <f>IF(ISBLANK(BC6),"",_xlfn.XLOOKUP(BC6,'Week 5'!$A:$A,'Week 5'!$F:$F))</f>
        <v>0</v>
      </c>
      <c r="BH6" s="177">
        <f>IF(ISBLANK(BC6),"",_xlfn.XLOOKUP(BC6,'Week 5'!$A:$A,'Week 5'!$G:$G))</f>
        <v>0</v>
      </c>
      <c r="BI6" s="177">
        <f>IF(ISBLANK(BC6),"",_xlfn.XLOOKUP(BC6,'Week 5'!$A:$A,'Week 5'!$H:$H))</f>
        <v>0</v>
      </c>
      <c r="BJ6" s="178">
        <f t="shared" si="4"/>
        <v>0</v>
      </c>
    </row>
    <row r="7" spans="6:62" x14ac:dyDescent="0.35">
      <c r="S7" s="174" t="str">
        <f>IF(ISBLANK(Teams!$E6),"",Teams!$E6)</f>
        <v>Samantha Walker</v>
      </c>
      <c r="T7" s="175">
        <f>IF(ISBLANK(S7),"",_xlfn.XLOOKUP(S7,'Week 1'!$A:$A,'Week 1'!$B:$B))</f>
        <v>0.89649999999999996</v>
      </c>
      <c r="U7" s="175">
        <f>IF(ISBLANK(S7),"",_xlfn.XLOOKUP(S7,'Week 1'!$A:$A,'Week 1'!$D:$D))</f>
        <v>0.84</v>
      </c>
      <c r="V7" s="176">
        <f>IF(ISBLANK(S7),"",_xlfn.XLOOKUP(S7,'Week 1'!$A:$A,'Week 1'!$E:$E))</f>
        <v>0.92</v>
      </c>
      <c r="W7" s="177">
        <f>IF(ISBLANK(S7),"",_xlfn.XLOOKUP(S7,'Week 1'!$A:$A,'Week 1'!$F:$F))</f>
        <v>2</v>
      </c>
      <c r="X7" s="177">
        <f>IF(ISBLANK(S7),"",_xlfn.XLOOKUP(S7,'Week 1'!$A:$A,'Week 1'!$G:$G))</f>
        <v>1</v>
      </c>
      <c r="Y7" s="177">
        <f>IF(ISBLANK(S7),"",_xlfn.XLOOKUP(S7,'Week 1'!$A:$A,'Week 1'!$H:$H))</f>
        <v>3</v>
      </c>
      <c r="Z7" s="178">
        <f t="shared" si="0"/>
        <v>6</v>
      </c>
      <c r="AA7" s="179"/>
      <c r="AB7" s="174" t="str">
        <f>IF(ISBLANK(Teams!$E6),"",Teams!$E6)</f>
        <v>Samantha Walker</v>
      </c>
      <c r="AC7" s="175" t="str">
        <f>IF(ISBLANK(AB7),"",_xlfn.XLOOKUP(AB7,'Week 2'!$A:$A,'Week 2'!$B:$B))</f>
        <v/>
      </c>
      <c r="AD7" s="175" t="str">
        <f>IF(ISBLANK(AB7),"",_xlfn.XLOOKUP(AB7,'Week 2'!$A:$A,'Week 2'!$D:$D))</f>
        <v/>
      </c>
      <c r="AE7" s="176" t="str">
        <f>IF(ISBLANK(AB7),"",_xlfn.XLOOKUP(AB7,'Week 2'!$A:$A,'Week 2'!$E:$E))</f>
        <v/>
      </c>
      <c r="AF7" s="177">
        <f>IF(ISBLANK(AB7),"",_xlfn.XLOOKUP(AB7,'Week 2'!$A:$A,'Week 2'!$F:$F))</f>
        <v>0</v>
      </c>
      <c r="AG7" s="177">
        <f>IF(ISBLANK(AB7),"",_xlfn.XLOOKUP(AB7,'Week 2'!$A:$A,'Week 2'!$G:$G))</f>
        <v>0</v>
      </c>
      <c r="AH7" s="177">
        <f>IF(ISBLANK(AB7),"",_xlfn.XLOOKUP(AB7,'Week 2'!$A:$A,'Week 2'!$H:$H))</f>
        <v>0</v>
      </c>
      <c r="AI7" s="178">
        <f t="shared" si="1"/>
        <v>0</v>
      </c>
      <c r="AJ7" s="179"/>
      <c r="AK7" s="174" t="str">
        <f>IF(ISBLANK(Teams!$E6),"",Teams!$E6)</f>
        <v>Samantha Walker</v>
      </c>
      <c r="AL7" s="175" t="str">
        <f>IF(ISBLANK(AK7),"",_xlfn.XLOOKUP(AK7,'Week 3'!$A:$A,'Week 3'!$B:$B))</f>
        <v/>
      </c>
      <c r="AM7" s="175" t="str">
        <f>IF(ISBLANK(AK7),"",_xlfn.XLOOKUP(AK7,'Week 3'!$A:$A,'Week 3'!$D:$D))</f>
        <v/>
      </c>
      <c r="AN7" s="176" t="str">
        <f>IF(ISBLANK(AK7),"",_xlfn.XLOOKUP(AK7,'Week 3'!$A:$A,'Week 3'!$E:$E))</f>
        <v/>
      </c>
      <c r="AO7" s="177">
        <f>IF(ISBLANK(AK7),"",_xlfn.XLOOKUP(AK7,'Week 3'!$A:$A,'Week 3'!$F:$F))</f>
        <v>0</v>
      </c>
      <c r="AP7" s="177">
        <f>IF(ISBLANK(AK7),"",_xlfn.XLOOKUP(AK7,'Week 3'!$A:$A,'Week 3'!$G:$G))</f>
        <v>0</v>
      </c>
      <c r="AQ7" s="177">
        <f>IF(ISBLANK(AK7),"",_xlfn.XLOOKUP(AK7,'Week 3'!$A:$A,'Week 3'!$H:$H))</f>
        <v>0</v>
      </c>
      <c r="AR7" s="178">
        <f t="shared" si="2"/>
        <v>0</v>
      </c>
      <c r="AS7" s="179"/>
      <c r="AT7" s="174" t="str">
        <f>IF(ISBLANK(Teams!$E6),"",Teams!$E6)</f>
        <v>Samantha Walker</v>
      </c>
      <c r="AU7" s="175" t="str">
        <f>IF(ISBLANK(AT7),"",_xlfn.XLOOKUP(AT7,'Week 4'!$A:$A,'Week 4'!$B:$B))</f>
        <v/>
      </c>
      <c r="AV7" s="175" t="str">
        <f>IF(ISBLANK(AT7),"",_xlfn.XLOOKUP(AT7,'Week 4'!$A:$A,'Week 4'!$D:$D))</f>
        <v/>
      </c>
      <c r="AW7" s="176" t="str">
        <f>IF(ISBLANK(AT7),"",_xlfn.XLOOKUP(AT7,'Week 4'!$A:$A,'Week 4'!$E:$E))</f>
        <v/>
      </c>
      <c r="AX7" s="177">
        <f>IF(ISBLANK(AT7),"",_xlfn.XLOOKUP(AT7,'Week 4'!$A:$A,'Week 4'!$F:$F))</f>
        <v>0</v>
      </c>
      <c r="AY7" s="177">
        <f>IF(ISBLANK(AT7),"",_xlfn.XLOOKUP(AT7,'Week 4'!$A:$A,'Week 4'!$G:$G))</f>
        <v>0</v>
      </c>
      <c r="AZ7" s="177">
        <f>IF(ISBLANK(AT7),"",_xlfn.XLOOKUP(AT7,'Week 4'!$A:$A,'Week 4'!$H:$H))</f>
        <v>0</v>
      </c>
      <c r="BA7" s="178">
        <f t="shared" si="3"/>
        <v>0</v>
      </c>
      <c r="BB7" s="179"/>
      <c r="BC7" s="174" t="str">
        <f>IF(ISBLANK(Teams!$E6),"",Teams!$E6)</f>
        <v>Samantha Walker</v>
      </c>
      <c r="BD7" s="175" t="str">
        <f>IF(ISBLANK(BC7),"",_xlfn.XLOOKUP(BC7,'Week 5'!$A:$A,'Week 5'!$B:$B))</f>
        <v/>
      </c>
      <c r="BE7" s="175" t="str">
        <f>IF(ISBLANK(BC7),"",_xlfn.XLOOKUP(BC7,'Week 5'!$A:$A,'Week 5'!$D:$D))</f>
        <v/>
      </c>
      <c r="BF7" s="176" t="str">
        <f>IF(ISBLANK(BC7),"",_xlfn.XLOOKUP(BC7,'Week 5'!$A:$A,'Week 5'!$E:$E))</f>
        <v/>
      </c>
      <c r="BG7" s="177">
        <f>IF(ISBLANK(BC7),"",_xlfn.XLOOKUP(BC7,'Week 5'!$A:$A,'Week 5'!$F:$F))</f>
        <v>0</v>
      </c>
      <c r="BH7" s="177">
        <f>IF(ISBLANK(BC7),"",_xlfn.XLOOKUP(BC7,'Week 5'!$A:$A,'Week 5'!$G:$G))</f>
        <v>0</v>
      </c>
      <c r="BI7" s="177">
        <f>IF(ISBLANK(BC7),"",_xlfn.XLOOKUP(BC7,'Week 5'!$A:$A,'Week 5'!$H:$H))</f>
        <v>0</v>
      </c>
      <c r="BJ7" s="178">
        <f t="shared" si="4"/>
        <v>0</v>
      </c>
    </row>
    <row r="8" spans="6:62" x14ac:dyDescent="0.35">
      <c r="S8" s="174" t="str">
        <f>IF(ISBLANK(Teams!$E7),"",Teams!$E7)</f>
        <v>Lauren Morgan</v>
      </c>
      <c r="T8" s="175">
        <f>IF(ISBLANK(S8),"",_xlfn.XLOOKUP(S8,'Week 1'!$A:$A,'Week 1'!$B:$B))</f>
        <v>0.86639999999999995</v>
      </c>
      <c r="U8" s="175">
        <f>IF(ISBLANK(S8),"",_xlfn.XLOOKUP(S8,'Week 1'!$A:$A,'Week 1'!$D:$D))</f>
        <v>0.68923076923076931</v>
      </c>
      <c r="V8" s="176">
        <f>IF(ISBLANK(S8),"",_xlfn.XLOOKUP(S8,'Week 1'!$A:$A,'Week 1'!$E:$E))</f>
        <v>0.94</v>
      </c>
      <c r="W8" s="177">
        <f>IF(ISBLANK(S8),"",_xlfn.XLOOKUP(S8,'Week 1'!$A:$A,'Week 1'!$F:$F))</f>
        <v>2</v>
      </c>
      <c r="X8" s="177">
        <f>IF(ISBLANK(S8),"",_xlfn.XLOOKUP(S8,'Week 1'!$A:$A,'Week 1'!$G:$G))</f>
        <v>1</v>
      </c>
      <c r="Y8" s="177">
        <f>IF(ISBLANK(S8),"",_xlfn.XLOOKUP(S8,'Week 1'!$A:$A,'Week 1'!$H:$H))</f>
        <v>3</v>
      </c>
      <c r="Z8" s="178">
        <f t="shared" si="0"/>
        <v>6</v>
      </c>
      <c r="AA8" s="179"/>
      <c r="AB8" s="174" t="str">
        <f>IF(ISBLANK(Teams!$E7),"",Teams!$E7)</f>
        <v>Lauren Morgan</v>
      </c>
      <c r="AC8" s="175" t="str">
        <f>IF(ISBLANK(AB8),"",_xlfn.XLOOKUP(AB8,'Week 2'!$A:$A,'Week 2'!$B:$B))</f>
        <v/>
      </c>
      <c r="AD8" s="175" t="str">
        <f>IF(ISBLANK(AB8),"",_xlfn.XLOOKUP(AB8,'Week 2'!$A:$A,'Week 2'!$D:$D))</f>
        <v/>
      </c>
      <c r="AE8" s="176" t="str">
        <f>IF(ISBLANK(AB8),"",_xlfn.XLOOKUP(AB8,'Week 2'!$A:$A,'Week 2'!$E:$E))</f>
        <v/>
      </c>
      <c r="AF8" s="177">
        <f>IF(ISBLANK(AB8),"",_xlfn.XLOOKUP(AB8,'Week 2'!$A:$A,'Week 2'!$F:$F))</f>
        <v>0</v>
      </c>
      <c r="AG8" s="177">
        <f>IF(ISBLANK(AB8),"",_xlfn.XLOOKUP(AB8,'Week 2'!$A:$A,'Week 2'!$G:$G))</f>
        <v>0</v>
      </c>
      <c r="AH8" s="177">
        <f>IF(ISBLANK(AB8),"",_xlfn.XLOOKUP(AB8,'Week 2'!$A:$A,'Week 2'!$H:$H))</f>
        <v>0</v>
      </c>
      <c r="AI8" s="178">
        <f t="shared" si="1"/>
        <v>0</v>
      </c>
      <c r="AJ8" s="179"/>
      <c r="AK8" s="174" t="str">
        <f>IF(ISBLANK(Teams!$E7),"",Teams!$E7)</f>
        <v>Lauren Morgan</v>
      </c>
      <c r="AL8" s="175" t="str">
        <f>IF(ISBLANK(AK8),"",_xlfn.XLOOKUP(AK8,'Week 3'!$A:$A,'Week 3'!$B:$B))</f>
        <v/>
      </c>
      <c r="AM8" s="175" t="str">
        <f>IF(ISBLANK(AK8),"",_xlfn.XLOOKUP(AK8,'Week 3'!$A:$A,'Week 3'!$D:$D))</f>
        <v/>
      </c>
      <c r="AN8" s="176" t="str">
        <f>IF(ISBLANK(AK8),"",_xlfn.XLOOKUP(AK8,'Week 3'!$A:$A,'Week 3'!$E:$E))</f>
        <v/>
      </c>
      <c r="AO8" s="177">
        <f>IF(ISBLANK(AK8),"",_xlfn.XLOOKUP(AK8,'Week 3'!$A:$A,'Week 3'!$F:$F))</f>
        <v>0</v>
      </c>
      <c r="AP8" s="177">
        <f>IF(ISBLANK(AK8),"",_xlfn.XLOOKUP(AK8,'Week 3'!$A:$A,'Week 3'!$G:$G))</f>
        <v>0</v>
      </c>
      <c r="AQ8" s="177">
        <f>IF(ISBLANK(AK8),"",_xlfn.XLOOKUP(AK8,'Week 3'!$A:$A,'Week 3'!$H:$H))</f>
        <v>0</v>
      </c>
      <c r="AR8" s="178">
        <f t="shared" si="2"/>
        <v>0</v>
      </c>
      <c r="AS8" s="179"/>
      <c r="AT8" s="174" t="str">
        <f>IF(ISBLANK(Teams!$E7),"",Teams!$E7)</f>
        <v>Lauren Morgan</v>
      </c>
      <c r="AU8" s="175" t="str">
        <f>IF(ISBLANK(AT8),"",_xlfn.XLOOKUP(AT8,'Week 4'!$A:$A,'Week 4'!$B:$B))</f>
        <v/>
      </c>
      <c r="AV8" s="175" t="str">
        <f>IF(ISBLANK(AT8),"",_xlfn.XLOOKUP(AT8,'Week 4'!$A:$A,'Week 4'!$D:$D))</f>
        <v/>
      </c>
      <c r="AW8" s="176" t="str">
        <f>IF(ISBLANK(AT8),"",_xlfn.XLOOKUP(AT8,'Week 4'!$A:$A,'Week 4'!$E:$E))</f>
        <v/>
      </c>
      <c r="AX8" s="177">
        <f>IF(ISBLANK(AT8),"",_xlfn.XLOOKUP(AT8,'Week 4'!$A:$A,'Week 4'!$F:$F))</f>
        <v>0</v>
      </c>
      <c r="AY8" s="177">
        <f>IF(ISBLANK(AT8),"",_xlfn.XLOOKUP(AT8,'Week 4'!$A:$A,'Week 4'!$G:$G))</f>
        <v>0</v>
      </c>
      <c r="AZ8" s="177">
        <f>IF(ISBLANK(AT8),"",_xlfn.XLOOKUP(AT8,'Week 4'!$A:$A,'Week 4'!$H:$H))</f>
        <v>0</v>
      </c>
      <c r="BA8" s="178">
        <f t="shared" si="3"/>
        <v>0</v>
      </c>
      <c r="BB8" s="179"/>
      <c r="BC8" s="174" t="str">
        <f>IF(ISBLANK(Teams!$E7),"",Teams!$E7)</f>
        <v>Lauren Morgan</v>
      </c>
      <c r="BD8" s="175" t="str">
        <f>IF(ISBLANK(BC8),"",_xlfn.XLOOKUP(BC8,'Week 5'!$A:$A,'Week 5'!$B:$B))</f>
        <v/>
      </c>
      <c r="BE8" s="175" t="str">
        <f>IF(ISBLANK(BC8),"",_xlfn.XLOOKUP(BC8,'Week 5'!$A:$A,'Week 5'!$D:$D))</f>
        <v/>
      </c>
      <c r="BF8" s="176" t="str">
        <f>IF(ISBLANK(BC8),"",_xlfn.XLOOKUP(BC8,'Week 5'!$A:$A,'Week 5'!$E:$E))</f>
        <v/>
      </c>
      <c r="BG8" s="177">
        <f>IF(ISBLANK(BC8),"",_xlfn.XLOOKUP(BC8,'Week 5'!$A:$A,'Week 5'!$F:$F))</f>
        <v>0</v>
      </c>
      <c r="BH8" s="177">
        <f>IF(ISBLANK(BC8),"",_xlfn.XLOOKUP(BC8,'Week 5'!$A:$A,'Week 5'!$G:$G))</f>
        <v>0</v>
      </c>
      <c r="BI8" s="177">
        <f>IF(ISBLANK(BC8),"",_xlfn.XLOOKUP(BC8,'Week 5'!$A:$A,'Week 5'!$H:$H))</f>
        <v>0</v>
      </c>
      <c r="BJ8" s="178">
        <f t="shared" si="4"/>
        <v>0</v>
      </c>
    </row>
    <row r="9" spans="6:62" ht="15" thickBot="1" x14ac:dyDescent="0.4">
      <c r="S9" s="174" t="str">
        <f>IF(ISBLANK(Teams!$E8),"",Teams!$E8)</f>
        <v>Antavian Taylor</v>
      </c>
      <c r="T9" s="175">
        <f>IF(ISBLANK(S9),"",_xlfn.XLOOKUP(S9,'Week 1'!$A:$A,'Week 1'!$B:$B))</f>
        <v>0.86619999999999997</v>
      </c>
      <c r="U9" s="175">
        <f>IF(ISBLANK(S9),"",_xlfn.XLOOKUP(S9,'Week 1'!$A:$A,'Week 1'!$D:$D))</f>
        <v>0.84</v>
      </c>
      <c r="V9" s="176">
        <f>IF(ISBLANK(S9),"",_xlfn.XLOOKUP(S9,'Week 1'!$A:$A,'Week 1'!$E:$E))</f>
        <v>0.92400000000000004</v>
      </c>
      <c r="W9" s="177">
        <f>IF(ISBLANK(S9),"",_xlfn.XLOOKUP(S9,'Week 1'!$A:$A,'Week 1'!$F:$F))</f>
        <v>2</v>
      </c>
      <c r="X9" s="177">
        <f>IF(ISBLANK(S9),"",_xlfn.XLOOKUP(S9,'Week 1'!$A:$A,'Week 1'!$G:$G))</f>
        <v>1</v>
      </c>
      <c r="Y9" s="177">
        <f>IF(ISBLANK(S9),"",_xlfn.XLOOKUP(S9,'Week 1'!$A:$A,'Week 1'!$H:$H))</f>
        <v>3</v>
      </c>
      <c r="Z9" s="178">
        <f t="shared" si="0"/>
        <v>6</v>
      </c>
      <c r="AA9" s="179"/>
      <c r="AB9" s="174" t="str">
        <f>IF(ISBLANK(Teams!$E8),"",Teams!$E8)</f>
        <v>Antavian Taylor</v>
      </c>
      <c r="AC9" s="175" t="str">
        <f>IF(ISBLANK(AB9),"",_xlfn.XLOOKUP(AB9,'Week 2'!$A:$A,'Week 2'!$B:$B))</f>
        <v/>
      </c>
      <c r="AD9" s="175" t="str">
        <f>IF(ISBLANK(AB9),"",_xlfn.XLOOKUP(AB9,'Week 2'!$A:$A,'Week 2'!$D:$D))</f>
        <v/>
      </c>
      <c r="AE9" s="176" t="str">
        <f>IF(ISBLANK(AB9),"",_xlfn.XLOOKUP(AB9,'Week 2'!$A:$A,'Week 2'!$E:$E))</f>
        <v/>
      </c>
      <c r="AF9" s="177">
        <f>IF(ISBLANK(AB9),"",_xlfn.XLOOKUP(AB9,'Week 2'!$A:$A,'Week 2'!$F:$F))</f>
        <v>0</v>
      </c>
      <c r="AG9" s="177">
        <f>IF(ISBLANK(AB9),"",_xlfn.XLOOKUP(AB9,'Week 2'!$A:$A,'Week 2'!$G:$G))</f>
        <v>0</v>
      </c>
      <c r="AH9" s="177">
        <f>IF(ISBLANK(AB9),"",_xlfn.XLOOKUP(AB9,'Week 2'!$A:$A,'Week 2'!$H:$H))</f>
        <v>0</v>
      </c>
      <c r="AI9" s="178">
        <f t="shared" si="1"/>
        <v>0</v>
      </c>
      <c r="AJ9" s="179"/>
      <c r="AK9" s="174" t="str">
        <f>IF(ISBLANK(Teams!$E8),"",Teams!$E8)</f>
        <v>Antavian Taylor</v>
      </c>
      <c r="AL9" s="175" t="str">
        <f>IF(ISBLANK(AK9),"",_xlfn.XLOOKUP(AK9,'Week 3'!$A:$A,'Week 3'!$B:$B))</f>
        <v/>
      </c>
      <c r="AM9" s="175" t="str">
        <f>IF(ISBLANK(AK9),"",_xlfn.XLOOKUP(AK9,'Week 3'!$A:$A,'Week 3'!$D:$D))</f>
        <v/>
      </c>
      <c r="AN9" s="176" t="str">
        <f>IF(ISBLANK(AK9),"",_xlfn.XLOOKUP(AK9,'Week 3'!$A:$A,'Week 3'!$E:$E))</f>
        <v/>
      </c>
      <c r="AO9" s="177">
        <f>IF(ISBLANK(AK9),"",_xlfn.XLOOKUP(AK9,'Week 3'!$A:$A,'Week 3'!$F:$F))</f>
        <v>0</v>
      </c>
      <c r="AP9" s="177">
        <f>IF(ISBLANK(AK9),"",_xlfn.XLOOKUP(AK9,'Week 3'!$A:$A,'Week 3'!$G:$G))</f>
        <v>0</v>
      </c>
      <c r="AQ9" s="177">
        <f>IF(ISBLANK(AK9),"",_xlfn.XLOOKUP(AK9,'Week 3'!$A:$A,'Week 3'!$H:$H))</f>
        <v>0</v>
      </c>
      <c r="AR9" s="178">
        <f t="shared" si="2"/>
        <v>0</v>
      </c>
      <c r="AS9" s="179"/>
      <c r="AT9" s="174" t="str">
        <f>IF(ISBLANK(Teams!$E8),"",Teams!$E8)</f>
        <v>Antavian Taylor</v>
      </c>
      <c r="AU9" s="175" t="str">
        <f>IF(ISBLANK(AT9),"",_xlfn.XLOOKUP(AT9,'Week 4'!$A:$A,'Week 4'!$B:$B))</f>
        <v/>
      </c>
      <c r="AV9" s="175" t="str">
        <f>IF(ISBLANK(AT9),"",_xlfn.XLOOKUP(AT9,'Week 4'!$A:$A,'Week 4'!$D:$D))</f>
        <v/>
      </c>
      <c r="AW9" s="176" t="str">
        <f>IF(ISBLANK(AT9),"",_xlfn.XLOOKUP(AT9,'Week 4'!$A:$A,'Week 4'!$E:$E))</f>
        <v/>
      </c>
      <c r="AX9" s="177">
        <f>IF(ISBLANK(AT9),"",_xlfn.XLOOKUP(AT9,'Week 4'!$A:$A,'Week 4'!$F:$F))</f>
        <v>0</v>
      </c>
      <c r="AY9" s="177">
        <f>IF(ISBLANK(AT9),"",_xlfn.XLOOKUP(AT9,'Week 4'!$A:$A,'Week 4'!$G:$G))</f>
        <v>0</v>
      </c>
      <c r="AZ9" s="177">
        <f>IF(ISBLANK(AT9),"",_xlfn.XLOOKUP(AT9,'Week 4'!$A:$A,'Week 4'!$H:$H))</f>
        <v>0</v>
      </c>
      <c r="BA9" s="178">
        <f t="shared" si="3"/>
        <v>0</v>
      </c>
      <c r="BB9" s="179"/>
      <c r="BC9" s="174" t="str">
        <f>IF(ISBLANK(Teams!$E8),"",Teams!$E8)</f>
        <v>Antavian Taylor</v>
      </c>
      <c r="BD9" s="175" t="str">
        <f>IF(ISBLANK(BC9),"",_xlfn.XLOOKUP(BC9,'Week 5'!$A:$A,'Week 5'!$B:$B))</f>
        <v/>
      </c>
      <c r="BE9" s="175" t="str">
        <f>IF(ISBLANK(BC9),"",_xlfn.XLOOKUP(BC9,'Week 5'!$A:$A,'Week 5'!$D:$D))</f>
        <v/>
      </c>
      <c r="BF9" s="176" t="str">
        <f>IF(ISBLANK(BC9),"",_xlfn.XLOOKUP(BC9,'Week 5'!$A:$A,'Week 5'!$E:$E))</f>
        <v/>
      </c>
      <c r="BG9" s="177">
        <f>IF(ISBLANK(BC9),"",_xlfn.XLOOKUP(BC9,'Week 5'!$A:$A,'Week 5'!$F:$F))</f>
        <v>0</v>
      </c>
      <c r="BH9" s="177">
        <f>IF(ISBLANK(BC9),"",_xlfn.XLOOKUP(BC9,'Week 5'!$A:$A,'Week 5'!$G:$G))</f>
        <v>0</v>
      </c>
      <c r="BI9" s="177">
        <f>IF(ISBLANK(BC9),"",_xlfn.XLOOKUP(BC9,'Week 5'!$A:$A,'Week 5'!$H:$H))</f>
        <v>0</v>
      </c>
      <c r="BJ9" s="178">
        <f t="shared" si="4"/>
        <v>0</v>
      </c>
    </row>
    <row r="10" spans="6:62" ht="15" thickTop="1" x14ac:dyDescent="0.35">
      <c r="F10" s="126" t="s">
        <v>47</v>
      </c>
      <c r="G10" s="127" t="s">
        <v>15</v>
      </c>
      <c r="L10" s="128" t="s">
        <v>48</v>
      </c>
      <c r="M10" s="129" t="s">
        <v>15</v>
      </c>
      <c r="S10" s="174" t="str">
        <f>IF(ISBLANK(Teams!$E9),"",Teams!$E9)</f>
        <v>Charlincia Montgomery</v>
      </c>
      <c r="T10" s="175">
        <f>IF(ISBLANK(S10),"",_xlfn.XLOOKUP(S10,'Week 1'!$A:$A,'Week 1'!$B:$B))</f>
        <v>0.87590000000000001</v>
      </c>
      <c r="U10" s="175">
        <f>IF(ISBLANK(S10),"",_xlfn.XLOOKUP(S10,'Week 1'!$A:$A,'Week 1'!$D:$D))</f>
        <v>0.88923076923076927</v>
      </c>
      <c r="V10" s="176">
        <f>IF(ISBLANK(S10),"",_xlfn.XLOOKUP(S10,'Week 1'!$A:$A,'Week 1'!$E:$E))</f>
        <v>0.92200000000000004</v>
      </c>
      <c r="W10" s="177">
        <f>IF(ISBLANK(S10),"",_xlfn.XLOOKUP(S10,'Week 1'!$A:$A,'Week 1'!$F:$F))</f>
        <v>2</v>
      </c>
      <c r="X10" s="177">
        <f>IF(ISBLANK(S10),"",_xlfn.XLOOKUP(S10,'Week 1'!$A:$A,'Week 1'!$G:$G))</f>
        <v>1</v>
      </c>
      <c r="Y10" s="177">
        <f>IF(ISBLANK(S10),"",_xlfn.XLOOKUP(S10,'Week 1'!$A:$A,'Week 1'!$H:$H))</f>
        <v>3</v>
      </c>
      <c r="Z10" s="178">
        <f t="shared" si="0"/>
        <v>6</v>
      </c>
      <c r="AA10" s="179"/>
      <c r="AB10" s="174" t="str">
        <f>IF(ISBLANK(Teams!$E9),"",Teams!$E9)</f>
        <v>Charlincia Montgomery</v>
      </c>
      <c r="AC10" s="175" t="str">
        <f>IF(ISBLANK(AB10),"",_xlfn.XLOOKUP(AB10,'Week 2'!$A:$A,'Week 2'!$B:$B))</f>
        <v/>
      </c>
      <c r="AD10" s="175" t="str">
        <f>IF(ISBLANK(AB10),"",_xlfn.XLOOKUP(AB10,'Week 2'!$A:$A,'Week 2'!$D:$D))</f>
        <v/>
      </c>
      <c r="AE10" s="176" t="str">
        <f>IF(ISBLANK(AB10),"",_xlfn.XLOOKUP(AB10,'Week 2'!$A:$A,'Week 2'!$E:$E))</f>
        <v/>
      </c>
      <c r="AF10" s="177">
        <f>IF(ISBLANK(AB10),"",_xlfn.XLOOKUP(AB10,'Week 2'!$A:$A,'Week 2'!$F:$F))</f>
        <v>0</v>
      </c>
      <c r="AG10" s="177">
        <f>IF(ISBLANK(AB10),"",_xlfn.XLOOKUP(AB10,'Week 2'!$A:$A,'Week 2'!$G:$G))</f>
        <v>0</v>
      </c>
      <c r="AH10" s="177">
        <f>IF(ISBLANK(AB10),"",_xlfn.XLOOKUP(AB10,'Week 2'!$A:$A,'Week 2'!$H:$H))</f>
        <v>0</v>
      </c>
      <c r="AI10" s="178">
        <f t="shared" si="1"/>
        <v>0</v>
      </c>
      <c r="AJ10" s="179"/>
      <c r="AK10" s="174" t="str">
        <f>IF(ISBLANK(Teams!$E9),"",Teams!$E9)</f>
        <v>Charlincia Montgomery</v>
      </c>
      <c r="AL10" s="175" t="str">
        <f>IF(ISBLANK(AK10),"",_xlfn.XLOOKUP(AK10,'Week 3'!$A:$A,'Week 3'!$B:$B))</f>
        <v/>
      </c>
      <c r="AM10" s="175" t="str">
        <f>IF(ISBLANK(AK10),"",_xlfn.XLOOKUP(AK10,'Week 3'!$A:$A,'Week 3'!$D:$D))</f>
        <v/>
      </c>
      <c r="AN10" s="176" t="str">
        <f>IF(ISBLANK(AK10),"",_xlfn.XLOOKUP(AK10,'Week 3'!$A:$A,'Week 3'!$E:$E))</f>
        <v/>
      </c>
      <c r="AO10" s="177">
        <f>IF(ISBLANK(AK10),"",_xlfn.XLOOKUP(AK10,'Week 3'!$A:$A,'Week 3'!$F:$F))</f>
        <v>0</v>
      </c>
      <c r="AP10" s="177">
        <f>IF(ISBLANK(AK10),"",_xlfn.XLOOKUP(AK10,'Week 3'!$A:$A,'Week 3'!$G:$G))</f>
        <v>0</v>
      </c>
      <c r="AQ10" s="177">
        <f>IF(ISBLANK(AK10),"",_xlfn.XLOOKUP(AK10,'Week 3'!$A:$A,'Week 3'!$H:$H))</f>
        <v>0</v>
      </c>
      <c r="AR10" s="178">
        <f t="shared" si="2"/>
        <v>0</v>
      </c>
      <c r="AS10" s="179"/>
      <c r="AT10" s="174" t="str">
        <f>IF(ISBLANK(Teams!$E9),"",Teams!$E9)</f>
        <v>Charlincia Montgomery</v>
      </c>
      <c r="AU10" s="175" t="str">
        <f>IF(ISBLANK(AT10),"",_xlfn.XLOOKUP(AT10,'Week 4'!$A:$A,'Week 4'!$B:$B))</f>
        <v/>
      </c>
      <c r="AV10" s="175" t="str">
        <f>IF(ISBLANK(AT10),"",_xlfn.XLOOKUP(AT10,'Week 4'!$A:$A,'Week 4'!$D:$D))</f>
        <v/>
      </c>
      <c r="AW10" s="176" t="str">
        <f>IF(ISBLANK(AT10),"",_xlfn.XLOOKUP(AT10,'Week 4'!$A:$A,'Week 4'!$E:$E))</f>
        <v/>
      </c>
      <c r="AX10" s="177">
        <f>IF(ISBLANK(AT10),"",_xlfn.XLOOKUP(AT10,'Week 4'!$A:$A,'Week 4'!$F:$F))</f>
        <v>0</v>
      </c>
      <c r="AY10" s="177">
        <f>IF(ISBLANK(AT10),"",_xlfn.XLOOKUP(AT10,'Week 4'!$A:$A,'Week 4'!$G:$G))</f>
        <v>0</v>
      </c>
      <c r="AZ10" s="177">
        <f>IF(ISBLANK(AT10),"",_xlfn.XLOOKUP(AT10,'Week 4'!$A:$A,'Week 4'!$H:$H))</f>
        <v>0</v>
      </c>
      <c r="BA10" s="178">
        <f t="shared" si="3"/>
        <v>0</v>
      </c>
      <c r="BB10" s="179"/>
      <c r="BC10" s="174" t="str">
        <f>IF(ISBLANK(Teams!$E9),"",Teams!$E9)</f>
        <v>Charlincia Montgomery</v>
      </c>
      <c r="BD10" s="175" t="str">
        <f>IF(ISBLANK(BC10),"",_xlfn.XLOOKUP(BC10,'Week 5'!$A:$A,'Week 5'!$B:$B))</f>
        <v/>
      </c>
      <c r="BE10" s="175" t="str">
        <f>IF(ISBLANK(BC10),"",_xlfn.XLOOKUP(BC10,'Week 5'!$A:$A,'Week 5'!$D:$D))</f>
        <v/>
      </c>
      <c r="BF10" s="176" t="str">
        <f>IF(ISBLANK(BC10),"",_xlfn.XLOOKUP(BC10,'Week 5'!$A:$A,'Week 5'!$E:$E))</f>
        <v/>
      </c>
      <c r="BG10" s="177">
        <f>IF(ISBLANK(BC10),"",_xlfn.XLOOKUP(BC10,'Week 5'!$A:$A,'Week 5'!$F:$F))</f>
        <v>0</v>
      </c>
      <c r="BH10" s="177">
        <f>IF(ISBLANK(BC10),"",_xlfn.XLOOKUP(BC10,'Week 5'!$A:$A,'Week 5'!$G:$G))</f>
        <v>0</v>
      </c>
      <c r="BI10" s="177">
        <f>IF(ISBLANK(BC10),"",_xlfn.XLOOKUP(BC10,'Week 5'!$A:$A,'Week 5'!$H:$H))</f>
        <v>0</v>
      </c>
      <c r="BJ10" s="178">
        <f t="shared" si="4"/>
        <v>0</v>
      </c>
    </row>
    <row r="11" spans="6:62" ht="15.5" x14ac:dyDescent="0.35">
      <c r="F11" s="172" t="str">
        <f>IF(ISBLANK(Teams!E3),"",Teams!E3)</f>
        <v>Rachel Garcia</v>
      </c>
      <c r="G11" s="130">
        <f>IF(F11="","",_xlfn.XLOOKUP(F11,Teams!E:E,Teams!F:F))</f>
        <v>5</v>
      </c>
      <c r="L11" s="173" t="str">
        <f>IF(ISBLANK(Teams!H3),"",Teams!H3)</f>
        <v>Yazli Yerena</v>
      </c>
      <c r="M11" s="131">
        <f>IF(L11="","",_xlfn.XLOOKUP(L11,Teams!H:H,Teams!I:I))</f>
        <v>6</v>
      </c>
      <c r="S11" s="174" t="str">
        <f>IF(ISBLANK(Teams!$E10),"",Teams!$E10)</f>
        <v/>
      </c>
      <c r="T11" s="175" t="str">
        <f>IF(ISBLANK(S11),"",_xlfn.XLOOKUP(S11,'Week 1'!$A:$A,'Week 1'!$B:$B))</f>
        <v/>
      </c>
      <c r="U11" s="175" t="str">
        <f>IF(ISBLANK(S11),"",_xlfn.XLOOKUP(S11,'Week 1'!$A:$A,'Week 1'!$D:$D))</f>
        <v/>
      </c>
      <c r="V11" s="176" t="str">
        <f>IF(ISBLANK(S11),"",_xlfn.XLOOKUP(S11,'Week 1'!$A:$A,'Week 1'!$E:$E))</f>
        <v/>
      </c>
      <c r="W11" s="177" t="str">
        <f>IF(ISBLANK(S11),"",_xlfn.XLOOKUP(S11,'Week 1'!$A:$A,'Week 1'!$F:$F))</f>
        <v/>
      </c>
      <c r="X11" s="177" t="str">
        <f>IF(ISBLANK(S11),"",_xlfn.XLOOKUP(S11,'Week 1'!$A:$A,'Week 1'!$G:$G))</f>
        <v/>
      </c>
      <c r="Y11" s="177">
        <f>IF(ISBLANK(S11),"",_xlfn.XLOOKUP(S11,'Week 1'!$A:$A,'Week 1'!$H:$H))</f>
        <v>0</v>
      </c>
      <c r="Z11" s="178">
        <f t="shared" si="0"/>
        <v>0</v>
      </c>
      <c r="AA11" s="179"/>
      <c r="AB11" s="174" t="str">
        <f>IF(ISBLANK(Teams!$E10),"",Teams!$E10)</f>
        <v/>
      </c>
      <c r="AC11" s="175" t="str">
        <f>IF(ISBLANK(AB11),"",_xlfn.XLOOKUP(AB11,'Week 2'!$A:$A,'Week 2'!$B:$B))</f>
        <v/>
      </c>
      <c r="AD11" s="175" t="str">
        <f>IF(ISBLANK(AB11),"",_xlfn.XLOOKUP(AB11,'Week 2'!$A:$A,'Week 2'!$D:$D))</f>
        <v/>
      </c>
      <c r="AE11" s="176" t="str">
        <f>IF(ISBLANK(AB11),"",_xlfn.XLOOKUP(AB11,'Week 2'!$A:$A,'Week 2'!$E:$E))</f>
        <v/>
      </c>
      <c r="AF11" s="177">
        <f>IF(ISBLANK(AB11),"",_xlfn.XLOOKUP(AB11,'Week 2'!$A:$A,'Week 2'!$F:$F))</f>
        <v>0</v>
      </c>
      <c r="AG11" s="177">
        <f>IF(ISBLANK(AB11),"",_xlfn.XLOOKUP(AB11,'Week 2'!$A:$A,'Week 2'!$G:$G))</f>
        <v>0</v>
      </c>
      <c r="AH11" s="177">
        <f>IF(ISBLANK(AB11),"",_xlfn.XLOOKUP(AB11,'Week 2'!$A:$A,'Week 2'!$H:$H))</f>
        <v>0</v>
      </c>
      <c r="AI11" s="178">
        <f t="shared" si="1"/>
        <v>0</v>
      </c>
      <c r="AJ11" s="179"/>
      <c r="AK11" s="174" t="str">
        <f>IF(ISBLANK(Teams!$E10),"",Teams!$E10)</f>
        <v/>
      </c>
      <c r="AL11" s="175" t="str">
        <f>IF(ISBLANK(AK11),"",_xlfn.XLOOKUP(AK11,'Week 3'!$A:$A,'Week 3'!$B:$B))</f>
        <v/>
      </c>
      <c r="AM11" s="175" t="str">
        <f>IF(ISBLANK(AK11),"",_xlfn.XLOOKUP(AK11,'Week 3'!$A:$A,'Week 3'!$D:$D))</f>
        <v/>
      </c>
      <c r="AN11" s="176" t="str">
        <f>IF(ISBLANK(AK11),"",_xlfn.XLOOKUP(AK11,'Week 3'!$A:$A,'Week 3'!$E:$E))</f>
        <v/>
      </c>
      <c r="AO11" s="177">
        <f>IF(ISBLANK(AK11),"",_xlfn.XLOOKUP(AK11,'Week 3'!$A:$A,'Week 3'!$F:$F))</f>
        <v>0</v>
      </c>
      <c r="AP11" s="177">
        <f>IF(ISBLANK(AK11),"",_xlfn.XLOOKUP(AK11,'Week 3'!$A:$A,'Week 3'!$G:$G))</f>
        <v>0</v>
      </c>
      <c r="AQ11" s="177">
        <f>IF(ISBLANK(AK11),"",_xlfn.XLOOKUP(AK11,'Week 3'!$A:$A,'Week 3'!$H:$H))</f>
        <v>0</v>
      </c>
      <c r="AR11" s="178">
        <f t="shared" si="2"/>
        <v>0</v>
      </c>
      <c r="AS11" s="179"/>
      <c r="AT11" s="174" t="str">
        <f>IF(ISBLANK(Teams!$E10),"",Teams!$E10)</f>
        <v/>
      </c>
      <c r="AU11" s="175" t="str">
        <f>IF(ISBLANK(AT11),"",_xlfn.XLOOKUP(AT11,'Week 4'!$A:$A,'Week 4'!$B:$B))</f>
        <v/>
      </c>
      <c r="AV11" s="175" t="str">
        <f>IF(ISBLANK(AT11),"",_xlfn.XLOOKUP(AT11,'Week 4'!$A:$A,'Week 4'!$D:$D))</f>
        <v/>
      </c>
      <c r="AW11" s="176" t="str">
        <f>IF(ISBLANK(AT11),"",_xlfn.XLOOKUP(AT11,'Week 4'!$A:$A,'Week 4'!$E:$E))</f>
        <v/>
      </c>
      <c r="AX11" s="177">
        <f>IF(ISBLANK(AT11),"",_xlfn.XLOOKUP(AT11,'Week 4'!$A:$A,'Week 4'!$F:$F))</f>
        <v>0</v>
      </c>
      <c r="AY11" s="177">
        <f>IF(ISBLANK(AT11),"",_xlfn.XLOOKUP(AT11,'Week 4'!$A:$A,'Week 4'!$G:$G))</f>
        <v>0</v>
      </c>
      <c r="AZ11" s="177">
        <f>IF(ISBLANK(AT11),"",_xlfn.XLOOKUP(AT11,'Week 4'!$A:$A,'Week 4'!$H:$H))</f>
        <v>0</v>
      </c>
      <c r="BA11" s="178">
        <f t="shared" si="3"/>
        <v>0</v>
      </c>
      <c r="BB11" s="179"/>
      <c r="BC11" s="174" t="str">
        <f>IF(ISBLANK(Teams!$E10),"",Teams!$E10)</f>
        <v/>
      </c>
      <c r="BD11" s="175" t="str">
        <f>IF(ISBLANK(BC11),"",_xlfn.XLOOKUP(BC11,'Week 5'!$A:$A,'Week 5'!$B:$B))</f>
        <v/>
      </c>
      <c r="BE11" s="175" t="str">
        <f>IF(ISBLANK(BC11),"",_xlfn.XLOOKUP(BC11,'Week 5'!$A:$A,'Week 5'!$D:$D))</f>
        <v/>
      </c>
      <c r="BF11" s="176" t="str">
        <f>IF(ISBLANK(BC11),"",_xlfn.XLOOKUP(BC11,'Week 5'!$A:$A,'Week 5'!$E:$E))</f>
        <v/>
      </c>
      <c r="BG11" s="177">
        <f>IF(ISBLANK(BC11),"",_xlfn.XLOOKUP(BC11,'Week 5'!$A:$A,'Week 5'!$F:$F))</f>
        <v>0</v>
      </c>
      <c r="BH11" s="177">
        <f>IF(ISBLANK(BC11),"",_xlfn.XLOOKUP(BC11,'Week 5'!$A:$A,'Week 5'!$G:$G))</f>
        <v>0</v>
      </c>
      <c r="BI11" s="177">
        <f>IF(ISBLANK(BC11),"",_xlfn.XLOOKUP(BC11,'Week 5'!$A:$A,'Week 5'!$H:$H))</f>
        <v>0</v>
      </c>
      <c r="BJ11" s="178">
        <f t="shared" si="4"/>
        <v>0</v>
      </c>
    </row>
    <row r="12" spans="6:62" ht="15.5" x14ac:dyDescent="0.35">
      <c r="F12" s="172" t="str">
        <f>IF(ISBLANK(Teams!E4),"",Teams!E4)</f>
        <v>Alicia Martinez Romero</v>
      </c>
      <c r="G12" s="130">
        <f>IF(F12="","",_xlfn.XLOOKUP(F12,Teams!E:E,Teams!F:F))</f>
        <v>6</v>
      </c>
      <c r="L12" s="173" t="str">
        <f>IF(ISBLANK(Teams!H4),"",Teams!H4)</f>
        <v>Yvonne Barbee</v>
      </c>
      <c r="M12" s="131">
        <f>IF(L12="","",_xlfn.XLOOKUP(L12,Teams!H:H,Teams!I:I))</f>
        <v>6</v>
      </c>
      <c r="S12" s="174" t="str">
        <f>IF(ISBLANK(Teams!$E11),"",Teams!$E11)</f>
        <v/>
      </c>
      <c r="T12" s="175" t="str">
        <f>IF(ISBLANK(S12),"",_xlfn.XLOOKUP(S12,'Week 1'!$A:$A,'Week 1'!$B:$B))</f>
        <v/>
      </c>
      <c r="U12" s="175" t="str">
        <f>IF(ISBLANK(S12),"",_xlfn.XLOOKUP(S12,'Week 1'!$A:$A,'Week 1'!$D:$D))</f>
        <v/>
      </c>
      <c r="V12" s="176" t="str">
        <f>IF(ISBLANK(S12),"",_xlfn.XLOOKUP(S12,'Week 1'!$A:$A,'Week 1'!$E:$E))</f>
        <v/>
      </c>
      <c r="W12" s="177" t="str">
        <f>IF(ISBLANK(S12),"",_xlfn.XLOOKUP(S12,'Week 1'!$A:$A,'Week 1'!$F:$F))</f>
        <v/>
      </c>
      <c r="X12" s="177" t="str">
        <f>IF(ISBLANK(S12),"",_xlfn.XLOOKUP(S12,'Week 1'!$A:$A,'Week 1'!$G:$G))</f>
        <v/>
      </c>
      <c r="Y12" s="177">
        <f>IF(ISBLANK(S12),"",_xlfn.XLOOKUP(S12,'Week 1'!$A:$A,'Week 1'!$H:$H))</f>
        <v>0</v>
      </c>
      <c r="Z12" s="178">
        <f t="shared" si="0"/>
        <v>0</v>
      </c>
      <c r="AA12" s="179"/>
      <c r="AB12" s="174" t="str">
        <f>IF(ISBLANK(Teams!$E11),"",Teams!$E11)</f>
        <v/>
      </c>
      <c r="AC12" s="175" t="str">
        <f>IF(ISBLANK(AB12),"",_xlfn.XLOOKUP(AB12,'Week 2'!$A:$A,'Week 2'!$B:$B))</f>
        <v/>
      </c>
      <c r="AD12" s="175" t="str">
        <f>IF(ISBLANK(AB12),"",_xlfn.XLOOKUP(AB12,'Week 2'!$A:$A,'Week 2'!$D:$D))</f>
        <v/>
      </c>
      <c r="AE12" s="176" t="str">
        <f>IF(ISBLANK(AB12),"",_xlfn.XLOOKUP(AB12,'Week 2'!$A:$A,'Week 2'!$E:$E))</f>
        <v/>
      </c>
      <c r="AF12" s="177">
        <f>IF(ISBLANK(AB12),"",_xlfn.XLOOKUP(AB12,'Week 2'!$A:$A,'Week 2'!$F:$F))</f>
        <v>0</v>
      </c>
      <c r="AG12" s="177">
        <f>IF(ISBLANK(AB12),"",_xlfn.XLOOKUP(AB12,'Week 2'!$A:$A,'Week 2'!$G:$G))</f>
        <v>0</v>
      </c>
      <c r="AH12" s="177">
        <f>IF(ISBLANK(AB12),"",_xlfn.XLOOKUP(AB12,'Week 2'!$A:$A,'Week 2'!$H:$H))</f>
        <v>0</v>
      </c>
      <c r="AI12" s="178">
        <f t="shared" si="1"/>
        <v>0</v>
      </c>
      <c r="AJ12" s="179"/>
      <c r="AK12" s="174" t="str">
        <f>IF(ISBLANK(Teams!$E11),"",Teams!$E11)</f>
        <v/>
      </c>
      <c r="AL12" s="175" t="str">
        <f>IF(ISBLANK(AK12),"",_xlfn.XLOOKUP(AK12,'Week 3'!$A:$A,'Week 3'!$B:$B))</f>
        <v/>
      </c>
      <c r="AM12" s="175" t="str">
        <f>IF(ISBLANK(AK12),"",_xlfn.XLOOKUP(AK12,'Week 3'!$A:$A,'Week 3'!$D:$D))</f>
        <v/>
      </c>
      <c r="AN12" s="176" t="str">
        <f>IF(ISBLANK(AK12),"",_xlfn.XLOOKUP(AK12,'Week 3'!$A:$A,'Week 3'!$E:$E))</f>
        <v/>
      </c>
      <c r="AO12" s="177">
        <f>IF(ISBLANK(AK12),"",_xlfn.XLOOKUP(AK12,'Week 3'!$A:$A,'Week 3'!$F:$F))</f>
        <v>0</v>
      </c>
      <c r="AP12" s="177">
        <f>IF(ISBLANK(AK12),"",_xlfn.XLOOKUP(AK12,'Week 3'!$A:$A,'Week 3'!$G:$G))</f>
        <v>0</v>
      </c>
      <c r="AQ12" s="177">
        <f>IF(ISBLANK(AK12),"",_xlfn.XLOOKUP(AK12,'Week 3'!$A:$A,'Week 3'!$H:$H))</f>
        <v>0</v>
      </c>
      <c r="AR12" s="178">
        <f t="shared" si="2"/>
        <v>0</v>
      </c>
      <c r="AS12" s="179"/>
      <c r="AT12" s="174" t="str">
        <f>IF(ISBLANK(Teams!$E11),"",Teams!$E11)</f>
        <v/>
      </c>
      <c r="AU12" s="175" t="str">
        <f>IF(ISBLANK(AT12),"",_xlfn.XLOOKUP(AT12,'Week 4'!$A:$A,'Week 4'!$B:$B))</f>
        <v/>
      </c>
      <c r="AV12" s="175" t="str">
        <f>IF(ISBLANK(AT12),"",_xlfn.XLOOKUP(AT12,'Week 4'!$A:$A,'Week 4'!$D:$D))</f>
        <v/>
      </c>
      <c r="AW12" s="176" t="str">
        <f>IF(ISBLANK(AT12),"",_xlfn.XLOOKUP(AT12,'Week 4'!$A:$A,'Week 4'!$E:$E))</f>
        <v/>
      </c>
      <c r="AX12" s="177">
        <f>IF(ISBLANK(AT12),"",_xlfn.XLOOKUP(AT12,'Week 4'!$A:$A,'Week 4'!$F:$F))</f>
        <v>0</v>
      </c>
      <c r="AY12" s="177">
        <f>IF(ISBLANK(AT12),"",_xlfn.XLOOKUP(AT12,'Week 4'!$A:$A,'Week 4'!$G:$G))</f>
        <v>0</v>
      </c>
      <c r="AZ12" s="177">
        <f>IF(ISBLANK(AT12),"",_xlfn.XLOOKUP(AT12,'Week 4'!$A:$A,'Week 4'!$H:$H))</f>
        <v>0</v>
      </c>
      <c r="BA12" s="178">
        <f t="shared" si="3"/>
        <v>0</v>
      </c>
      <c r="BB12" s="179"/>
      <c r="BC12" s="174" t="str">
        <f>IF(ISBLANK(Teams!$E11),"",Teams!$E11)</f>
        <v/>
      </c>
      <c r="BD12" s="175" t="str">
        <f>IF(ISBLANK(BC12),"",_xlfn.XLOOKUP(BC12,'Week 5'!$A:$A,'Week 5'!$B:$B))</f>
        <v/>
      </c>
      <c r="BE12" s="175" t="str">
        <f>IF(ISBLANK(BC12),"",_xlfn.XLOOKUP(BC12,'Week 5'!$A:$A,'Week 5'!$D:$D))</f>
        <v/>
      </c>
      <c r="BF12" s="176" t="str">
        <f>IF(ISBLANK(BC12),"",_xlfn.XLOOKUP(BC12,'Week 5'!$A:$A,'Week 5'!$E:$E))</f>
        <v/>
      </c>
      <c r="BG12" s="177">
        <f>IF(ISBLANK(BC12),"",_xlfn.XLOOKUP(BC12,'Week 5'!$A:$A,'Week 5'!$F:$F))</f>
        <v>0</v>
      </c>
      <c r="BH12" s="177">
        <f>IF(ISBLANK(BC12),"",_xlfn.XLOOKUP(BC12,'Week 5'!$A:$A,'Week 5'!$G:$G))</f>
        <v>0</v>
      </c>
      <c r="BI12" s="177">
        <f>IF(ISBLANK(BC12),"",_xlfn.XLOOKUP(BC12,'Week 5'!$A:$A,'Week 5'!$H:$H))</f>
        <v>0</v>
      </c>
      <c r="BJ12" s="178">
        <f t="shared" si="4"/>
        <v>0</v>
      </c>
    </row>
    <row r="13" spans="6:62" ht="15.5" x14ac:dyDescent="0.35">
      <c r="F13" s="172" t="str">
        <f>IF(ISBLANK(Teams!E5),"",Teams!E5)</f>
        <v>Kiarra Grandison</v>
      </c>
      <c r="G13" s="130">
        <f>IF(F13="","",_xlfn.XLOOKUP(F13,Teams!E:E,Teams!F:F))</f>
        <v>7</v>
      </c>
      <c r="L13" s="173" t="str">
        <f>IF(ISBLANK(Teams!H5),"",Teams!H5)</f>
        <v>Beatriz Alvarado</v>
      </c>
      <c r="M13" s="131">
        <f>IF(L13="","",_xlfn.XLOOKUP(L13,Teams!H:H,Teams!I:I))</f>
        <v>6</v>
      </c>
      <c r="S13" s="174" t="str">
        <f>IF(ISBLANK(Teams!$E12),"",Teams!$E12)</f>
        <v/>
      </c>
      <c r="T13" s="175" t="str">
        <f>IF(ISBLANK(S13),"",_xlfn.XLOOKUP(S13,'Week 1'!$A:$A,'Week 1'!$B:$B))</f>
        <v/>
      </c>
      <c r="U13" s="175" t="str">
        <f>IF(ISBLANK(S13),"",_xlfn.XLOOKUP(S13,'Week 1'!$A:$A,'Week 1'!$D:$D))</f>
        <v/>
      </c>
      <c r="V13" s="176" t="str">
        <f>IF(ISBLANK(S13),"",_xlfn.XLOOKUP(S13,'Week 1'!$A:$A,'Week 1'!$E:$E))</f>
        <v/>
      </c>
      <c r="W13" s="177" t="str">
        <f>IF(ISBLANK(S13),"",_xlfn.XLOOKUP(S13,'Week 1'!$A:$A,'Week 1'!$F:$F))</f>
        <v/>
      </c>
      <c r="X13" s="177" t="str">
        <f>IF(ISBLANK(S13),"",_xlfn.XLOOKUP(S13,'Week 1'!$A:$A,'Week 1'!$G:$G))</f>
        <v/>
      </c>
      <c r="Y13" s="177">
        <f>IF(ISBLANK(S13),"",_xlfn.XLOOKUP(S13,'Week 1'!$A:$A,'Week 1'!$H:$H))</f>
        <v>0</v>
      </c>
      <c r="Z13" s="178">
        <f t="shared" si="0"/>
        <v>0</v>
      </c>
      <c r="AA13" s="179"/>
      <c r="AB13" s="174" t="str">
        <f>IF(ISBLANK(Teams!$E12),"",Teams!$E12)</f>
        <v/>
      </c>
      <c r="AC13" s="175" t="str">
        <f>IF(ISBLANK(AB13),"",_xlfn.XLOOKUP(AB13,'Week 2'!$A:$A,'Week 2'!$B:$B))</f>
        <v/>
      </c>
      <c r="AD13" s="175" t="str">
        <f>IF(ISBLANK(AB13),"",_xlfn.XLOOKUP(AB13,'Week 2'!$A:$A,'Week 2'!$D:$D))</f>
        <v/>
      </c>
      <c r="AE13" s="176" t="str">
        <f>IF(ISBLANK(AB13),"",_xlfn.XLOOKUP(AB13,'Week 2'!$A:$A,'Week 2'!$E:$E))</f>
        <v/>
      </c>
      <c r="AF13" s="177">
        <f>IF(ISBLANK(AB13),"",_xlfn.XLOOKUP(AB13,'Week 2'!$A:$A,'Week 2'!$F:$F))</f>
        <v>0</v>
      </c>
      <c r="AG13" s="177">
        <f>IF(ISBLANK(AB13),"",_xlfn.XLOOKUP(AB13,'Week 2'!$A:$A,'Week 2'!$G:$G))</f>
        <v>0</v>
      </c>
      <c r="AH13" s="177">
        <f>IF(ISBLANK(AB13),"",_xlfn.XLOOKUP(AB13,'Week 2'!$A:$A,'Week 2'!$H:$H))</f>
        <v>0</v>
      </c>
      <c r="AI13" s="178">
        <f t="shared" si="1"/>
        <v>0</v>
      </c>
      <c r="AJ13" s="179"/>
      <c r="AK13" s="174" t="str">
        <f>IF(ISBLANK(Teams!$E12),"",Teams!$E12)</f>
        <v/>
      </c>
      <c r="AL13" s="175" t="str">
        <f>IF(ISBLANK(AK13),"",_xlfn.XLOOKUP(AK13,'Week 3'!$A:$A,'Week 3'!$B:$B))</f>
        <v/>
      </c>
      <c r="AM13" s="175" t="str">
        <f>IF(ISBLANK(AK13),"",_xlfn.XLOOKUP(AK13,'Week 3'!$A:$A,'Week 3'!$D:$D))</f>
        <v/>
      </c>
      <c r="AN13" s="176" t="str">
        <f>IF(ISBLANK(AK13),"",_xlfn.XLOOKUP(AK13,'Week 3'!$A:$A,'Week 3'!$E:$E))</f>
        <v/>
      </c>
      <c r="AO13" s="177">
        <f>IF(ISBLANK(AK13),"",_xlfn.XLOOKUP(AK13,'Week 3'!$A:$A,'Week 3'!$F:$F))</f>
        <v>0</v>
      </c>
      <c r="AP13" s="177">
        <f>IF(ISBLANK(AK13),"",_xlfn.XLOOKUP(AK13,'Week 3'!$A:$A,'Week 3'!$G:$G))</f>
        <v>0</v>
      </c>
      <c r="AQ13" s="177">
        <f>IF(ISBLANK(AK13),"",_xlfn.XLOOKUP(AK13,'Week 3'!$A:$A,'Week 3'!$H:$H))</f>
        <v>0</v>
      </c>
      <c r="AR13" s="178">
        <f t="shared" si="2"/>
        <v>0</v>
      </c>
      <c r="AS13" s="179"/>
      <c r="AT13" s="174" t="str">
        <f>IF(ISBLANK(Teams!$E12),"",Teams!$E12)</f>
        <v/>
      </c>
      <c r="AU13" s="175" t="str">
        <f>IF(ISBLANK(AT13),"",_xlfn.XLOOKUP(AT13,'Week 4'!$A:$A,'Week 4'!$B:$B))</f>
        <v/>
      </c>
      <c r="AV13" s="175" t="str">
        <f>IF(ISBLANK(AT13),"",_xlfn.XLOOKUP(AT13,'Week 4'!$A:$A,'Week 4'!$D:$D))</f>
        <v/>
      </c>
      <c r="AW13" s="176" t="str">
        <f>IF(ISBLANK(AT13),"",_xlfn.XLOOKUP(AT13,'Week 4'!$A:$A,'Week 4'!$E:$E))</f>
        <v/>
      </c>
      <c r="AX13" s="177">
        <f>IF(ISBLANK(AT13),"",_xlfn.XLOOKUP(AT13,'Week 4'!$A:$A,'Week 4'!$F:$F))</f>
        <v>0</v>
      </c>
      <c r="AY13" s="177">
        <f>IF(ISBLANK(AT13),"",_xlfn.XLOOKUP(AT13,'Week 4'!$A:$A,'Week 4'!$G:$G))</f>
        <v>0</v>
      </c>
      <c r="AZ13" s="177">
        <f>IF(ISBLANK(AT13),"",_xlfn.XLOOKUP(AT13,'Week 4'!$A:$A,'Week 4'!$H:$H))</f>
        <v>0</v>
      </c>
      <c r="BA13" s="178">
        <f t="shared" si="3"/>
        <v>0</v>
      </c>
      <c r="BB13" s="179"/>
      <c r="BC13" s="174" t="str">
        <f>IF(ISBLANK(Teams!$E12),"",Teams!$E12)</f>
        <v/>
      </c>
      <c r="BD13" s="175" t="str">
        <f>IF(ISBLANK(BC13),"",_xlfn.XLOOKUP(BC13,'Week 5'!$A:$A,'Week 5'!$B:$B))</f>
        <v/>
      </c>
      <c r="BE13" s="175" t="str">
        <f>IF(ISBLANK(BC13),"",_xlfn.XLOOKUP(BC13,'Week 5'!$A:$A,'Week 5'!$D:$D))</f>
        <v/>
      </c>
      <c r="BF13" s="176" t="str">
        <f>IF(ISBLANK(BC13),"",_xlfn.XLOOKUP(BC13,'Week 5'!$A:$A,'Week 5'!$E:$E))</f>
        <v/>
      </c>
      <c r="BG13" s="177">
        <f>IF(ISBLANK(BC13),"",_xlfn.XLOOKUP(BC13,'Week 5'!$A:$A,'Week 5'!$F:$F))</f>
        <v>0</v>
      </c>
      <c r="BH13" s="177">
        <f>IF(ISBLANK(BC13),"",_xlfn.XLOOKUP(BC13,'Week 5'!$A:$A,'Week 5'!$G:$G))</f>
        <v>0</v>
      </c>
      <c r="BI13" s="177">
        <f>IF(ISBLANK(BC13),"",_xlfn.XLOOKUP(BC13,'Week 5'!$A:$A,'Week 5'!$H:$H))</f>
        <v>0</v>
      </c>
      <c r="BJ13" s="178">
        <f t="shared" si="4"/>
        <v>0</v>
      </c>
    </row>
    <row r="14" spans="6:62" ht="15.5" x14ac:dyDescent="0.35">
      <c r="F14" s="172" t="str">
        <f>IF(ISBLANK(Teams!E6),"",Teams!E6)</f>
        <v>Samantha Walker</v>
      </c>
      <c r="G14" s="130">
        <f>IF(F14="","",_xlfn.XLOOKUP(F14,Teams!E:E,Teams!F:F))</f>
        <v>6</v>
      </c>
      <c r="L14" s="173" t="str">
        <f>IF(ISBLANK(Teams!H6),"",Teams!H6)</f>
        <v>Heather Cash</v>
      </c>
      <c r="M14" s="131">
        <f>IF(L14="","",_xlfn.XLOOKUP(L14,Teams!H:H,Teams!I:I))</f>
        <v>5</v>
      </c>
      <c r="S14" s="182"/>
      <c r="T14" s="182"/>
      <c r="U14" s="182"/>
      <c r="V14" s="182"/>
      <c r="W14" s="182"/>
      <c r="X14" s="182"/>
      <c r="Y14" s="182"/>
      <c r="Z14" s="183">
        <f>SUM(Z4:Z13)</f>
        <v>42</v>
      </c>
      <c r="AA14" s="179"/>
      <c r="AB14" s="182"/>
      <c r="AC14" s="182"/>
      <c r="AD14" s="182"/>
      <c r="AE14" s="182"/>
      <c r="AF14" s="182"/>
      <c r="AG14" s="182"/>
      <c r="AH14" s="182"/>
      <c r="AI14" s="183">
        <f>SUM(AI4:AI13)</f>
        <v>0</v>
      </c>
      <c r="AJ14" s="179"/>
      <c r="AK14" s="182"/>
      <c r="AL14" s="182"/>
      <c r="AM14" s="182"/>
      <c r="AN14" s="182"/>
      <c r="AO14" s="182"/>
      <c r="AP14" s="182"/>
      <c r="AQ14" s="182"/>
      <c r="AR14" s="183">
        <f>SUM(AR4:AR13)</f>
        <v>0</v>
      </c>
      <c r="AS14" s="179"/>
      <c r="AT14" s="182"/>
      <c r="AU14" s="182"/>
      <c r="AV14" s="182"/>
      <c r="AW14" s="182"/>
      <c r="AX14" s="182"/>
      <c r="AY14" s="182"/>
      <c r="AZ14" s="182"/>
      <c r="BA14" s="183">
        <f>SUM(BA4:BA13)</f>
        <v>0</v>
      </c>
      <c r="BB14" s="179"/>
      <c r="BC14" s="182"/>
      <c r="BD14" s="182"/>
      <c r="BE14" s="182"/>
      <c r="BF14" s="182"/>
      <c r="BG14" s="182"/>
      <c r="BH14" s="182"/>
      <c r="BI14" s="182"/>
      <c r="BJ14" s="183">
        <f>SUM(BJ4:BJ13)</f>
        <v>0</v>
      </c>
    </row>
    <row r="15" spans="6:62" ht="15.5" x14ac:dyDescent="0.35">
      <c r="F15" s="172" t="str">
        <f>IF(ISBLANK(Teams!E7),"",Teams!E7)</f>
        <v>Lauren Morgan</v>
      </c>
      <c r="G15" s="130">
        <f>IF(F15="","",_xlfn.XLOOKUP(F15,Teams!E:E,Teams!F:F))</f>
        <v>6</v>
      </c>
      <c r="L15" s="173" t="str">
        <f>IF(ISBLANK(Teams!H7),"",Teams!H7)</f>
        <v>Janice Winston</v>
      </c>
      <c r="M15" s="131">
        <f>IF(L15="","",_xlfn.XLOOKUP(L15,Teams!H:H,Teams!I:I))</f>
        <v>6</v>
      </c>
      <c r="AE15" s="132"/>
      <c r="AN15" s="132"/>
      <c r="AW15" s="132"/>
      <c r="BF15" s="132"/>
    </row>
    <row r="16" spans="6:62" ht="15.5" x14ac:dyDescent="0.35">
      <c r="F16" s="172" t="str">
        <f>IF(ISBLANK(Teams!E8),"",Teams!E8)</f>
        <v>Antavian Taylor</v>
      </c>
      <c r="G16" s="130">
        <f>IF(F16="","",_xlfn.XLOOKUP(F16,Teams!E:E,Teams!F:F))</f>
        <v>6</v>
      </c>
      <c r="L16" s="173" t="str">
        <f>IF(ISBLANK(Teams!H8),"",Teams!H8)</f>
        <v>Keysanah Baldwin</v>
      </c>
      <c r="M16" s="131">
        <f>IF(L16="","",_xlfn.XLOOKUP(L16,Teams!H:H,Teams!I:I))</f>
        <v>6</v>
      </c>
      <c r="S16" s="192" t="s">
        <v>63</v>
      </c>
      <c r="T16" s="193"/>
      <c r="U16" s="193"/>
      <c r="V16" s="193"/>
      <c r="W16" s="194"/>
      <c r="X16" s="195" t="s">
        <v>68</v>
      </c>
      <c r="Y16" s="196"/>
      <c r="Z16" s="197"/>
      <c r="AB16" s="192" t="s">
        <v>63</v>
      </c>
      <c r="AC16" s="193"/>
      <c r="AD16" s="193"/>
      <c r="AE16" s="193"/>
      <c r="AF16" s="194"/>
      <c r="AG16" s="195" t="s">
        <v>67</v>
      </c>
      <c r="AH16" s="196"/>
      <c r="AI16" s="197"/>
      <c r="AK16" s="192" t="s">
        <v>63</v>
      </c>
      <c r="AL16" s="193"/>
      <c r="AM16" s="193"/>
      <c r="AN16" s="193"/>
      <c r="AO16" s="194"/>
      <c r="AP16" s="195" t="s">
        <v>66</v>
      </c>
      <c r="AQ16" s="196"/>
      <c r="AR16" s="197"/>
      <c r="AT16" s="192" t="s">
        <v>63</v>
      </c>
      <c r="AU16" s="193"/>
      <c r="AV16" s="193"/>
      <c r="AW16" s="193"/>
      <c r="AX16" s="194"/>
      <c r="AY16" s="195" t="s">
        <v>65</v>
      </c>
      <c r="AZ16" s="196"/>
      <c r="BA16" s="197"/>
      <c r="BC16" s="192" t="s">
        <v>63</v>
      </c>
      <c r="BD16" s="193"/>
      <c r="BE16" s="193"/>
      <c r="BF16" s="193"/>
      <c r="BG16" s="194"/>
      <c r="BH16" s="195" t="s">
        <v>64</v>
      </c>
      <c r="BI16" s="196"/>
      <c r="BJ16" s="197"/>
    </row>
    <row r="17" spans="6:62" ht="15.5" x14ac:dyDescent="0.35">
      <c r="F17" s="172" t="str">
        <f>IF(ISBLANK(Teams!E9),"",Teams!E9)</f>
        <v>Charlincia Montgomery</v>
      </c>
      <c r="G17" s="130">
        <f>IF(F17="","",_xlfn.XLOOKUP(F17,Teams!E:E,Teams!F:F))</f>
        <v>6</v>
      </c>
      <c r="L17" s="173" t="str">
        <f>IF(ISBLANK(Teams!H9),"",Teams!H9)</f>
        <v>Erin Underwood</v>
      </c>
      <c r="M17" s="131">
        <f>IF(L17="","",_xlfn.XLOOKUP(L17,Teams!H:H,Teams!I:I))</f>
        <v>6</v>
      </c>
      <c r="S17" s="125" t="s">
        <v>1</v>
      </c>
      <c r="T17" s="125" t="s">
        <v>16</v>
      </c>
      <c r="U17" s="125" t="s">
        <v>46</v>
      </c>
      <c r="V17" s="125" t="s">
        <v>12</v>
      </c>
      <c r="W17" s="125" t="s">
        <v>17</v>
      </c>
      <c r="X17" s="125" t="s">
        <v>18</v>
      </c>
      <c r="Y17" s="125" t="s">
        <v>19</v>
      </c>
      <c r="Z17" s="125" t="s">
        <v>20</v>
      </c>
      <c r="AB17" s="125" t="s">
        <v>1</v>
      </c>
      <c r="AC17" s="125" t="s">
        <v>16</v>
      </c>
      <c r="AD17" s="125" t="s">
        <v>46</v>
      </c>
      <c r="AE17" s="125" t="s">
        <v>12</v>
      </c>
      <c r="AF17" s="125" t="s">
        <v>17</v>
      </c>
      <c r="AG17" s="125" t="s">
        <v>18</v>
      </c>
      <c r="AH17" s="125" t="s">
        <v>19</v>
      </c>
      <c r="AI17" s="125" t="s">
        <v>20</v>
      </c>
      <c r="AK17" s="125" t="s">
        <v>1</v>
      </c>
      <c r="AL17" s="125" t="s">
        <v>16</v>
      </c>
      <c r="AM17" s="125" t="s">
        <v>46</v>
      </c>
      <c r="AN17" s="125" t="s">
        <v>12</v>
      </c>
      <c r="AO17" s="125" t="s">
        <v>17</v>
      </c>
      <c r="AP17" s="125" t="s">
        <v>18</v>
      </c>
      <c r="AQ17" s="125" t="s">
        <v>19</v>
      </c>
      <c r="AR17" s="125" t="s">
        <v>20</v>
      </c>
      <c r="AT17" s="125" t="s">
        <v>1</v>
      </c>
      <c r="AU17" s="125" t="s">
        <v>16</v>
      </c>
      <c r="AV17" s="125" t="s">
        <v>46</v>
      </c>
      <c r="AW17" s="125" t="s">
        <v>12</v>
      </c>
      <c r="AX17" s="125" t="s">
        <v>17</v>
      </c>
      <c r="AY17" s="125" t="s">
        <v>18</v>
      </c>
      <c r="AZ17" s="125" t="s">
        <v>19</v>
      </c>
      <c r="BA17" s="125" t="s">
        <v>20</v>
      </c>
      <c r="BC17" s="125" t="s">
        <v>1</v>
      </c>
      <c r="BD17" s="125" t="s">
        <v>16</v>
      </c>
      <c r="BE17" s="125" t="s">
        <v>46</v>
      </c>
      <c r="BF17" s="125" t="s">
        <v>12</v>
      </c>
      <c r="BG17" s="125" t="s">
        <v>17</v>
      </c>
      <c r="BH17" s="125" t="s">
        <v>18</v>
      </c>
      <c r="BI17" s="125" t="s">
        <v>19</v>
      </c>
      <c r="BJ17" s="125" t="s">
        <v>20</v>
      </c>
    </row>
    <row r="18" spans="6:62" ht="15.5" x14ac:dyDescent="0.35">
      <c r="F18" s="172" t="str">
        <f>IF(ISBLANK(Teams!E10),"",Teams!E10)</f>
        <v/>
      </c>
      <c r="G18" s="130" t="str">
        <f>IF(F18="","",_xlfn.XLOOKUP(F18,Teams!E:E,Teams!F:F))</f>
        <v/>
      </c>
      <c r="L18" s="173" t="str">
        <f>IF(ISBLANK(Teams!H10),"",Teams!H10)</f>
        <v/>
      </c>
      <c r="M18" s="131" t="str">
        <f>IF(L18="","",_xlfn.XLOOKUP(L18,Teams!H:H,Teams!I:I))</f>
        <v/>
      </c>
      <c r="S18" s="174" t="str">
        <f>IF(ISBLANK(Teams!$H3),"",Teams!$H3)</f>
        <v>Yazli Yerena</v>
      </c>
      <c r="T18" s="175">
        <f>_xlfn.XLOOKUP(S18,'Week 1'!$A:$A,'Week 1'!$B:$B)</f>
        <v>0.6421</v>
      </c>
      <c r="U18" s="175">
        <f>_xlfn.XLOOKUP(S18,'Week 1'!$A:$A,'Week 1'!$D:$D)</f>
        <v>1.1723076923076923</v>
      </c>
      <c r="V18" s="176">
        <f>_xlfn.XLOOKUP(S18,'Week 1'!$A:$A,'Week 1'!$E:$E)</f>
        <v>0.95</v>
      </c>
      <c r="W18" s="177">
        <f>_xlfn.XLOOKUP(S18,'Week 1'!$A:$A,'Week 1'!$F:$F)</f>
        <v>0</v>
      </c>
      <c r="X18" s="177">
        <f>_xlfn.XLOOKUP(S18,'Week 1'!$A:$A,'Week 1'!$G:$G)</f>
        <v>3</v>
      </c>
      <c r="Y18" s="177">
        <f>_xlfn.XLOOKUP(S18,'Week 1'!$A:$A,'Week 1'!$H:$H)</f>
        <v>3</v>
      </c>
      <c r="Z18" s="178">
        <f t="shared" ref="Z18" si="5">SUM(W18:Y18)</f>
        <v>6</v>
      </c>
      <c r="AA18" s="179"/>
      <c r="AB18" s="174" t="str">
        <f>IF(ISBLANK(Teams!$H3),"",Teams!$H3)</f>
        <v>Yazli Yerena</v>
      </c>
      <c r="AC18" s="175" t="str">
        <f>_xlfn.XLOOKUP(AB18,'Week 2'!$A:$A,'Week 2'!$B:$B)</f>
        <v/>
      </c>
      <c r="AD18" s="175" t="str">
        <f>_xlfn.XLOOKUP(AB18,'Week 2'!$A:$A,'Week 2'!$D:$D)</f>
        <v/>
      </c>
      <c r="AE18" s="176" t="str">
        <f>_xlfn.XLOOKUP(AB18,'Week 2'!$A:$A,'Week 2'!$E:$E)</f>
        <v/>
      </c>
      <c r="AF18" s="177">
        <f>_xlfn.XLOOKUP(AB18,'Week 2'!$A:$A,'Week 2'!$F:$F)</f>
        <v>0</v>
      </c>
      <c r="AG18" s="177">
        <f>_xlfn.XLOOKUP(AB18,'Week 2'!$A:$A,'Week 2'!$G:$G)</f>
        <v>0</v>
      </c>
      <c r="AH18" s="177">
        <f>_xlfn.XLOOKUP(AB18,'Week 2'!$A:$A,'Week 2'!$H:$H)</f>
        <v>0</v>
      </c>
      <c r="AI18" s="178">
        <f t="shared" ref="AI18" si="6">SUM(AF18:AH18)</f>
        <v>0</v>
      </c>
      <c r="AJ18" s="179"/>
      <c r="AK18" s="174" t="str">
        <f>IF(ISBLANK(Teams!$H3),"",Teams!$H3)</f>
        <v>Yazli Yerena</v>
      </c>
      <c r="AL18" s="175" t="str">
        <f>_xlfn.XLOOKUP(AK18,'Week 3'!$A:$A,'Week 3'!$B:$B)</f>
        <v/>
      </c>
      <c r="AM18" s="175" t="str">
        <f>_xlfn.XLOOKUP(AK18,'Week 3'!$A:$A,'Week 3'!$D:$D)</f>
        <v/>
      </c>
      <c r="AN18" s="176" t="str">
        <f>_xlfn.XLOOKUP(AK18,'Week 3'!$A:$A,'Week 3'!$E:$E)</f>
        <v/>
      </c>
      <c r="AO18" s="177">
        <f>_xlfn.XLOOKUP(AK18,'Week 3'!$A:$A,'Week 3'!$F:$F)</f>
        <v>0</v>
      </c>
      <c r="AP18" s="177">
        <f>_xlfn.XLOOKUP(AK18,'Week 3'!$A:$A,'Week 3'!$G:$G)</f>
        <v>0</v>
      </c>
      <c r="AQ18" s="177">
        <f>_xlfn.XLOOKUP(AK18,'Week 3'!$A:$A,'Week 3'!$H:$H)</f>
        <v>0</v>
      </c>
      <c r="AR18" s="178">
        <f t="shared" ref="AR18:AR27" si="7">SUM(AO18:AQ18)</f>
        <v>0</v>
      </c>
      <c r="AS18" s="179"/>
      <c r="AT18" s="174" t="str">
        <f>IF(ISBLANK(Teams!$H3),"",Teams!$H3)</f>
        <v>Yazli Yerena</v>
      </c>
      <c r="AU18" s="175" t="str">
        <f>_xlfn.XLOOKUP(AT18,'Week 4'!$A:$A,'Week 4'!$B:$B)</f>
        <v/>
      </c>
      <c r="AV18" s="175" t="str">
        <f>_xlfn.XLOOKUP(AT18,'Week 4'!$A:$A,'Week 4'!$D:$D)</f>
        <v/>
      </c>
      <c r="AW18" s="176" t="str">
        <f>_xlfn.XLOOKUP(AT18,'Week 4'!$A:$A,'Week 4'!$E:$E)</f>
        <v/>
      </c>
      <c r="AX18" s="177">
        <f>_xlfn.XLOOKUP(AT18,'Week 4'!$A:$A,'Week 4'!$F:$F)</f>
        <v>0</v>
      </c>
      <c r="AY18" s="177">
        <f>_xlfn.XLOOKUP(AT18,'Week 4'!$A:$A,'Week 4'!$G:$G)</f>
        <v>0</v>
      </c>
      <c r="AZ18" s="177">
        <f>_xlfn.XLOOKUP(AT18,'Week 4'!$A:$A,'Week 4'!$H:$H)</f>
        <v>0</v>
      </c>
      <c r="BA18" s="178">
        <f t="shared" ref="BA18:BA27" si="8">SUM(AX18:AZ18)</f>
        <v>0</v>
      </c>
      <c r="BB18" s="179"/>
      <c r="BC18" s="174" t="str">
        <f>IF(ISBLANK(Teams!$H3),"",Teams!$H3)</f>
        <v>Yazli Yerena</v>
      </c>
      <c r="BD18" s="175" t="str">
        <f>_xlfn.XLOOKUP(BC18,'Week 5'!$A:$A,'Week 5'!$B:$B)</f>
        <v/>
      </c>
      <c r="BE18" s="175" t="str">
        <f>_xlfn.XLOOKUP(BC18,'Week 5'!$A:$A,'Week 5'!$D:$D)</f>
        <v/>
      </c>
      <c r="BF18" s="176" t="str">
        <f>_xlfn.XLOOKUP(BC18,'Week 5'!$A:$A,'Week 5'!$E:$E)</f>
        <v/>
      </c>
      <c r="BG18" s="177">
        <f>_xlfn.XLOOKUP(BC18,'Week 5'!$A:$A,'Week 5'!$F:$F)</f>
        <v>0</v>
      </c>
      <c r="BH18" s="177">
        <f>_xlfn.XLOOKUP(BC18,'Week 5'!$A:$A,'Week 5'!$G:$G)</f>
        <v>0</v>
      </c>
      <c r="BI18" s="177">
        <f>_xlfn.XLOOKUP(BC18,'Week 5'!$A:$A,'Week 5'!$H:$H)</f>
        <v>0</v>
      </c>
      <c r="BJ18" s="178">
        <f t="shared" ref="BJ18:BJ27" si="9">SUM(BG18:BI18)</f>
        <v>0</v>
      </c>
    </row>
    <row r="19" spans="6:62" ht="15.5" x14ac:dyDescent="0.35">
      <c r="F19" s="172" t="str">
        <f>IF(ISBLANK(Teams!E11),"",Teams!E11)</f>
        <v/>
      </c>
      <c r="G19" s="130" t="str">
        <f>IF(F19="","",_xlfn.XLOOKUP(F19,Teams!E:E,Teams!F:F))</f>
        <v/>
      </c>
      <c r="L19" s="173" t="str">
        <f>IF(ISBLANK(Teams!H11),"",Teams!H11)</f>
        <v/>
      </c>
      <c r="M19" s="131" t="str">
        <f>IF(L19="","",_xlfn.XLOOKUP(L19,Teams!H:H,Teams!I:I))</f>
        <v/>
      </c>
      <c r="S19" s="174" t="str">
        <f>IF(ISBLANK(Teams!$H4),"",Teams!$H4)</f>
        <v>Yvonne Barbee</v>
      </c>
      <c r="T19" s="175">
        <f>_xlfn.XLOOKUP(S19,'Week 1'!$A:$A,'Week 1'!$B:$B)</f>
        <v>0.86699999999999999</v>
      </c>
      <c r="U19" s="175">
        <f>_xlfn.XLOOKUP(S19,'Week 1'!$A:$A,'Week 1'!$D:$D)</f>
        <v>0.99692307692307702</v>
      </c>
      <c r="V19" s="176">
        <f>_xlfn.XLOOKUP(S19,'Week 1'!$A:$A,'Week 1'!$E:$E)</f>
        <v>0.93500000000000005</v>
      </c>
      <c r="W19" s="177">
        <f>_xlfn.XLOOKUP(S19,'Week 1'!$A:$A,'Week 1'!$F:$F)</f>
        <v>2</v>
      </c>
      <c r="X19" s="177">
        <f>_xlfn.XLOOKUP(S19,'Week 1'!$A:$A,'Week 1'!$G:$G)</f>
        <v>1</v>
      </c>
      <c r="Y19" s="177">
        <f>_xlfn.XLOOKUP(S19,'Week 1'!$A:$A,'Week 1'!$H:$H)</f>
        <v>3</v>
      </c>
      <c r="Z19" s="178">
        <f t="shared" ref="Z19:Z27" si="10">SUM(W19:Y19)</f>
        <v>6</v>
      </c>
      <c r="AA19" s="179"/>
      <c r="AB19" s="174" t="str">
        <f>IF(ISBLANK(Teams!$H4),"",Teams!$H4)</f>
        <v>Yvonne Barbee</v>
      </c>
      <c r="AC19" s="175" t="str">
        <f>_xlfn.XLOOKUP(AB19,'Week 2'!$A:$A,'Week 2'!$B:$B)</f>
        <v/>
      </c>
      <c r="AD19" s="175" t="str">
        <f>_xlfn.XLOOKUP(AB19,'Week 2'!$A:$A,'Week 2'!$D:$D)</f>
        <v/>
      </c>
      <c r="AE19" s="176" t="str">
        <f>_xlfn.XLOOKUP(AB19,'Week 2'!$A:$A,'Week 2'!$E:$E)</f>
        <v/>
      </c>
      <c r="AF19" s="177">
        <f>_xlfn.XLOOKUP(AB19,'Week 2'!$A:$A,'Week 2'!$F:$F)</f>
        <v>0</v>
      </c>
      <c r="AG19" s="177">
        <f>_xlfn.XLOOKUP(AB19,'Week 2'!$A:$A,'Week 2'!$G:$G)</f>
        <v>0</v>
      </c>
      <c r="AH19" s="177">
        <f>_xlfn.XLOOKUP(AB19,'Week 2'!$A:$A,'Week 2'!$H:$H)</f>
        <v>0</v>
      </c>
      <c r="AI19" s="178">
        <f t="shared" ref="AI19:AI27" si="11">SUM(AF19:AH19)</f>
        <v>0</v>
      </c>
      <c r="AJ19" s="179"/>
      <c r="AK19" s="174" t="str">
        <f>IF(ISBLANK(Teams!$H4),"",Teams!$H4)</f>
        <v>Yvonne Barbee</v>
      </c>
      <c r="AL19" s="175" t="str">
        <f>_xlfn.XLOOKUP(AK19,'Week 3'!$A:$A,'Week 3'!$B:$B)</f>
        <v/>
      </c>
      <c r="AM19" s="175" t="str">
        <f>_xlfn.XLOOKUP(AK19,'Week 3'!$A:$A,'Week 3'!$D:$D)</f>
        <v/>
      </c>
      <c r="AN19" s="176" t="str">
        <f>_xlfn.XLOOKUP(AK19,'Week 3'!$A:$A,'Week 3'!$E:$E)</f>
        <v/>
      </c>
      <c r="AO19" s="177">
        <f>_xlfn.XLOOKUP(AK19,'Week 3'!$A:$A,'Week 3'!$F:$F)</f>
        <v>0</v>
      </c>
      <c r="AP19" s="177">
        <f>_xlfn.XLOOKUP(AK19,'Week 3'!$A:$A,'Week 3'!$G:$G)</f>
        <v>0</v>
      </c>
      <c r="AQ19" s="177">
        <f>_xlfn.XLOOKUP(AK19,'Week 3'!$A:$A,'Week 3'!$H:$H)</f>
        <v>0</v>
      </c>
      <c r="AR19" s="178">
        <f t="shared" si="7"/>
        <v>0</v>
      </c>
      <c r="AS19" s="179"/>
      <c r="AT19" s="174" t="str">
        <f>IF(ISBLANK(Teams!$H4),"",Teams!$H4)</f>
        <v>Yvonne Barbee</v>
      </c>
      <c r="AU19" s="175" t="str">
        <f>_xlfn.XLOOKUP(AT19,'Week 4'!$A:$A,'Week 4'!$B:$B)</f>
        <v/>
      </c>
      <c r="AV19" s="175" t="str">
        <f>_xlfn.XLOOKUP(AT19,'Week 4'!$A:$A,'Week 4'!$D:$D)</f>
        <v/>
      </c>
      <c r="AW19" s="176" t="str">
        <f>_xlfn.XLOOKUP(AT19,'Week 4'!$A:$A,'Week 4'!$E:$E)</f>
        <v/>
      </c>
      <c r="AX19" s="177">
        <f>_xlfn.XLOOKUP(AT19,'Week 4'!$A:$A,'Week 4'!$F:$F)</f>
        <v>0</v>
      </c>
      <c r="AY19" s="177">
        <f>_xlfn.XLOOKUP(AT19,'Week 4'!$A:$A,'Week 4'!$G:$G)</f>
        <v>0</v>
      </c>
      <c r="AZ19" s="177">
        <f>_xlfn.XLOOKUP(AT19,'Week 4'!$A:$A,'Week 4'!$H:$H)</f>
        <v>0</v>
      </c>
      <c r="BA19" s="178">
        <f t="shared" si="8"/>
        <v>0</v>
      </c>
      <c r="BB19" s="179"/>
      <c r="BC19" s="174" t="str">
        <f>IF(ISBLANK(Teams!$H4),"",Teams!$H4)</f>
        <v>Yvonne Barbee</v>
      </c>
      <c r="BD19" s="175" t="str">
        <f>_xlfn.XLOOKUP(BC19,'Week 5'!$A:$A,'Week 5'!$B:$B)</f>
        <v/>
      </c>
      <c r="BE19" s="175" t="str">
        <f>_xlfn.XLOOKUP(BC19,'Week 5'!$A:$A,'Week 5'!$D:$D)</f>
        <v/>
      </c>
      <c r="BF19" s="176" t="str">
        <f>_xlfn.XLOOKUP(BC19,'Week 5'!$A:$A,'Week 5'!$E:$E)</f>
        <v/>
      </c>
      <c r="BG19" s="177">
        <f>_xlfn.XLOOKUP(BC19,'Week 5'!$A:$A,'Week 5'!$F:$F)</f>
        <v>0</v>
      </c>
      <c r="BH19" s="177">
        <f>_xlfn.XLOOKUP(BC19,'Week 5'!$A:$A,'Week 5'!$G:$G)</f>
        <v>0</v>
      </c>
      <c r="BI19" s="177">
        <f>_xlfn.XLOOKUP(BC19,'Week 5'!$A:$A,'Week 5'!$H:$H)</f>
        <v>0</v>
      </c>
      <c r="BJ19" s="178">
        <f t="shared" si="9"/>
        <v>0</v>
      </c>
    </row>
    <row r="20" spans="6:62" ht="15.5" x14ac:dyDescent="0.35">
      <c r="F20" s="172" t="str">
        <f>IF(ISBLANK(Teams!E12),"",Teams!E12)</f>
        <v/>
      </c>
      <c r="G20" s="130" t="str">
        <f>IF(F20="","",_xlfn.XLOOKUP(F20,Teams!E:E,Teams!F:F))</f>
        <v/>
      </c>
      <c r="L20" s="173" t="str">
        <f>IF(ISBLANK(Teams!H12),"",Teams!H12)</f>
        <v/>
      </c>
      <c r="M20" s="131" t="str">
        <f>IF(L20="","",_xlfn.XLOOKUP(L20,Teams!H:H,Teams!I:I))</f>
        <v/>
      </c>
      <c r="S20" s="174" t="str">
        <f>IF(ISBLANK(Teams!$H5),"",Teams!$H5)</f>
        <v>Beatriz Alvarado</v>
      </c>
      <c r="T20" s="175">
        <f>_xlfn.XLOOKUP(S20,'Week 1'!$A:$A,'Week 1'!$B:$B)</f>
        <v>0.85970000000000002</v>
      </c>
      <c r="U20" s="175">
        <f>_xlfn.XLOOKUP(S20,'Week 1'!$A:$A,'Week 1'!$D:$D)</f>
        <v>1.0307692307692309</v>
      </c>
      <c r="V20" s="176">
        <f>_xlfn.XLOOKUP(S20,'Week 1'!$A:$A,'Week 1'!$E:$E)</f>
        <v>0.93700000000000006</v>
      </c>
      <c r="W20" s="177">
        <f>_xlfn.XLOOKUP(S20,'Week 1'!$A:$A,'Week 1'!$F:$F)</f>
        <v>2</v>
      </c>
      <c r="X20" s="177">
        <f>_xlfn.XLOOKUP(S20,'Week 1'!$A:$A,'Week 1'!$G:$G)</f>
        <v>1</v>
      </c>
      <c r="Y20" s="177">
        <f>_xlfn.XLOOKUP(S20,'Week 1'!$A:$A,'Week 1'!$H:$H)</f>
        <v>3</v>
      </c>
      <c r="Z20" s="178">
        <f t="shared" si="10"/>
        <v>6</v>
      </c>
      <c r="AA20" s="179"/>
      <c r="AB20" s="174" t="str">
        <f>IF(ISBLANK(Teams!$H5),"",Teams!$H5)</f>
        <v>Beatriz Alvarado</v>
      </c>
      <c r="AC20" s="175" t="str">
        <f>_xlfn.XLOOKUP(AB20,'Week 2'!$A:$A,'Week 2'!$B:$B)</f>
        <v/>
      </c>
      <c r="AD20" s="175" t="str">
        <f>_xlfn.XLOOKUP(AB20,'Week 2'!$A:$A,'Week 2'!$D:$D)</f>
        <v/>
      </c>
      <c r="AE20" s="176" t="str">
        <f>_xlfn.XLOOKUP(AB20,'Week 2'!$A:$A,'Week 2'!$E:$E)</f>
        <v/>
      </c>
      <c r="AF20" s="177">
        <f>_xlfn.XLOOKUP(AB20,'Week 2'!$A:$A,'Week 2'!$F:$F)</f>
        <v>0</v>
      </c>
      <c r="AG20" s="177">
        <f>_xlfn.XLOOKUP(AB20,'Week 2'!$A:$A,'Week 2'!$G:$G)</f>
        <v>0</v>
      </c>
      <c r="AH20" s="177">
        <f>_xlfn.XLOOKUP(AB20,'Week 2'!$A:$A,'Week 2'!$H:$H)</f>
        <v>0</v>
      </c>
      <c r="AI20" s="178">
        <f t="shared" si="11"/>
        <v>0</v>
      </c>
      <c r="AJ20" s="179"/>
      <c r="AK20" s="174" t="str">
        <f>IF(ISBLANK(Teams!$H5),"",Teams!$H5)</f>
        <v>Beatriz Alvarado</v>
      </c>
      <c r="AL20" s="175" t="str">
        <f>_xlfn.XLOOKUP(AK20,'Week 3'!$A:$A,'Week 3'!$B:$B)</f>
        <v/>
      </c>
      <c r="AM20" s="175" t="str">
        <f>_xlfn.XLOOKUP(AK20,'Week 3'!$A:$A,'Week 3'!$D:$D)</f>
        <v/>
      </c>
      <c r="AN20" s="176" t="str">
        <f>_xlfn.XLOOKUP(AK20,'Week 3'!$A:$A,'Week 3'!$E:$E)</f>
        <v/>
      </c>
      <c r="AO20" s="177">
        <f>_xlfn.XLOOKUP(AK20,'Week 3'!$A:$A,'Week 3'!$F:$F)</f>
        <v>0</v>
      </c>
      <c r="AP20" s="177">
        <f>_xlfn.XLOOKUP(AK20,'Week 3'!$A:$A,'Week 3'!$G:$G)</f>
        <v>0</v>
      </c>
      <c r="AQ20" s="177">
        <f>_xlfn.XLOOKUP(AK20,'Week 3'!$A:$A,'Week 3'!$H:$H)</f>
        <v>0</v>
      </c>
      <c r="AR20" s="178">
        <f t="shared" si="7"/>
        <v>0</v>
      </c>
      <c r="AS20" s="179"/>
      <c r="AT20" s="174" t="str">
        <f>IF(ISBLANK(Teams!$H5),"",Teams!$H5)</f>
        <v>Beatriz Alvarado</v>
      </c>
      <c r="AU20" s="175" t="str">
        <f>_xlfn.XLOOKUP(AT20,'Week 4'!$A:$A,'Week 4'!$B:$B)</f>
        <v/>
      </c>
      <c r="AV20" s="175" t="str">
        <f>_xlfn.XLOOKUP(AT20,'Week 4'!$A:$A,'Week 4'!$D:$D)</f>
        <v/>
      </c>
      <c r="AW20" s="176" t="str">
        <f>_xlfn.XLOOKUP(AT20,'Week 4'!$A:$A,'Week 4'!$E:$E)</f>
        <v/>
      </c>
      <c r="AX20" s="177">
        <f>_xlfn.XLOOKUP(AT20,'Week 4'!$A:$A,'Week 4'!$F:$F)</f>
        <v>0</v>
      </c>
      <c r="AY20" s="177">
        <f>_xlfn.XLOOKUP(AT20,'Week 4'!$A:$A,'Week 4'!$G:$G)</f>
        <v>0</v>
      </c>
      <c r="AZ20" s="177">
        <f>_xlfn.XLOOKUP(AT20,'Week 4'!$A:$A,'Week 4'!$H:$H)</f>
        <v>0</v>
      </c>
      <c r="BA20" s="178">
        <f t="shared" si="8"/>
        <v>0</v>
      </c>
      <c r="BB20" s="179"/>
      <c r="BC20" s="174" t="str">
        <f>IF(ISBLANK(Teams!$H5),"",Teams!$H5)</f>
        <v>Beatriz Alvarado</v>
      </c>
      <c r="BD20" s="175" t="str">
        <f>_xlfn.XLOOKUP(BC20,'Week 5'!$A:$A,'Week 5'!$B:$B)</f>
        <v/>
      </c>
      <c r="BE20" s="175" t="str">
        <f>_xlfn.XLOOKUP(BC20,'Week 5'!$A:$A,'Week 5'!$D:$D)</f>
        <v/>
      </c>
      <c r="BF20" s="176" t="str">
        <f>_xlfn.XLOOKUP(BC20,'Week 5'!$A:$A,'Week 5'!$E:$E)</f>
        <v/>
      </c>
      <c r="BG20" s="177">
        <f>_xlfn.XLOOKUP(BC20,'Week 5'!$A:$A,'Week 5'!$F:$F)</f>
        <v>0</v>
      </c>
      <c r="BH20" s="177">
        <f>_xlfn.XLOOKUP(BC20,'Week 5'!$A:$A,'Week 5'!$G:$G)</f>
        <v>0</v>
      </c>
      <c r="BI20" s="177">
        <f>_xlfn.XLOOKUP(BC20,'Week 5'!$A:$A,'Week 5'!$H:$H)</f>
        <v>0</v>
      </c>
      <c r="BJ20" s="178">
        <f t="shared" si="9"/>
        <v>0</v>
      </c>
    </row>
    <row r="21" spans="6:62" ht="15.5" x14ac:dyDescent="0.35">
      <c r="F21" s="172" t="str">
        <f>IF(ISBLANK(Teams!E13),"",Teams!E13)</f>
        <v/>
      </c>
      <c r="G21" s="130" t="str">
        <f>IF(F21="","",_xlfn.XLOOKUP(F21,Teams!E:E,Teams!F:F))</f>
        <v/>
      </c>
      <c r="L21" s="173" t="str">
        <f>IF(ISBLANK(Teams!H13),"",Teams!H13)</f>
        <v/>
      </c>
      <c r="M21" s="131" t="str">
        <f>IF(L21="","",_xlfn.XLOOKUP(L21,Teams!H:H,Teams!I:I))</f>
        <v/>
      </c>
      <c r="S21" s="174" t="str">
        <f>IF(ISBLANK(Teams!$H6),"",Teams!$H6)</f>
        <v>Heather Cash</v>
      </c>
      <c r="T21" s="175">
        <f>_xlfn.XLOOKUP(S21,'Week 1'!$A:$A,'Week 1'!$B:$B)</f>
        <v>0.88460000000000005</v>
      </c>
      <c r="U21" s="175">
        <f>_xlfn.XLOOKUP(S21,'Week 1'!$A:$A,'Week 1'!$D:$D)</f>
        <v>0.84923076923076912</v>
      </c>
      <c r="V21" s="176">
        <f>_xlfn.XLOOKUP(S21,'Week 1'!$A:$A,'Week 1'!$E:$E)</f>
        <v>0.89300000000000002</v>
      </c>
      <c r="W21" s="177">
        <f>_xlfn.XLOOKUP(S21,'Week 1'!$A:$A,'Week 1'!$F:$F)</f>
        <v>2</v>
      </c>
      <c r="X21" s="177">
        <f>_xlfn.XLOOKUP(S21,'Week 1'!$A:$A,'Week 1'!$G:$G)</f>
        <v>1</v>
      </c>
      <c r="Y21" s="177">
        <f>_xlfn.XLOOKUP(S21,'Week 1'!$A:$A,'Week 1'!$H:$H)</f>
        <v>2</v>
      </c>
      <c r="Z21" s="178">
        <f t="shared" si="10"/>
        <v>5</v>
      </c>
      <c r="AA21" s="179"/>
      <c r="AB21" s="174" t="str">
        <f>IF(ISBLANK(Teams!$H6),"",Teams!$H6)</f>
        <v>Heather Cash</v>
      </c>
      <c r="AC21" s="175" t="str">
        <f>_xlfn.XLOOKUP(AB21,'Week 2'!$A:$A,'Week 2'!$B:$B)</f>
        <v/>
      </c>
      <c r="AD21" s="175" t="str">
        <f>_xlfn.XLOOKUP(AB21,'Week 2'!$A:$A,'Week 2'!$D:$D)</f>
        <v/>
      </c>
      <c r="AE21" s="176" t="str">
        <f>_xlfn.XLOOKUP(AB21,'Week 2'!$A:$A,'Week 2'!$E:$E)</f>
        <v/>
      </c>
      <c r="AF21" s="177">
        <f>_xlfn.XLOOKUP(AB21,'Week 2'!$A:$A,'Week 2'!$F:$F)</f>
        <v>0</v>
      </c>
      <c r="AG21" s="177">
        <f>_xlfn.XLOOKUP(AB21,'Week 2'!$A:$A,'Week 2'!$G:$G)</f>
        <v>0</v>
      </c>
      <c r="AH21" s="177">
        <f>_xlfn.XLOOKUP(AB21,'Week 2'!$A:$A,'Week 2'!$H:$H)</f>
        <v>0</v>
      </c>
      <c r="AI21" s="178">
        <f t="shared" si="11"/>
        <v>0</v>
      </c>
      <c r="AJ21" s="179"/>
      <c r="AK21" s="174" t="str">
        <f>IF(ISBLANK(Teams!$H6),"",Teams!$H6)</f>
        <v>Heather Cash</v>
      </c>
      <c r="AL21" s="175" t="str">
        <f>_xlfn.XLOOKUP(AK21,'Week 3'!$A:$A,'Week 3'!$B:$B)</f>
        <v/>
      </c>
      <c r="AM21" s="175" t="str">
        <f>_xlfn.XLOOKUP(AK21,'Week 3'!$A:$A,'Week 3'!$D:$D)</f>
        <v/>
      </c>
      <c r="AN21" s="176" t="str">
        <f>_xlfn.XLOOKUP(AK21,'Week 3'!$A:$A,'Week 3'!$E:$E)</f>
        <v/>
      </c>
      <c r="AO21" s="177">
        <f>_xlfn.XLOOKUP(AK21,'Week 3'!$A:$A,'Week 3'!$F:$F)</f>
        <v>0</v>
      </c>
      <c r="AP21" s="177">
        <f>_xlfn.XLOOKUP(AK21,'Week 3'!$A:$A,'Week 3'!$G:$G)</f>
        <v>0</v>
      </c>
      <c r="AQ21" s="177">
        <f>_xlfn.XLOOKUP(AK21,'Week 3'!$A:$A,'Week 3'!$H:$H)</f>
        <v>0</v>
      </c>
      <c r="AR21" s="178">
        <f t="shared" si="7"/>
        <v>0</v>
      </c>
      <c r="AS21" s="179"/>
      <c r="AT21" s="174" t="str">
        <f>IF(ISBLANK(Teams!$H6),"",Teams!$H6)</f>
        <v>Heather Cash</v>
      </c>
      <c r="AU21" s="175" t="str">
        <f>_xlfn.XLOOKUP(AT21,'Week 4'!$A:$A,'Week 4'!$B:$B)</f>
        <v/>
      </c>
      <c r="AV21" s="175" t="str">
        <f>_xlfn.XLOOKUP(AT21,'Week 4'!$A:$A,'Week 4'!$D:$D)</f>
        <v/>
      </c>
      <c r="AW21" s="176" t="str">
        <f>_xlfn.XLOOKUP(AT21,'Week 4'!$A:$A,'Week 4'!$E:$E)</f>
        <v/>
      </c>
      <c r="AX21" s="177">
        <f>_xlfn.XLOOKUP(AT21,'Week 4'!$A:$A,'Week 4'!$F:$F)</f>
        <v>0</v>
      </c>
      <c r="AY21" s="177">
        <f>_xlfn.XLOOKUP(AT21,'Week 4'!$A:$A,'Week 4'!$G:$G)</f>
        <v>0</v>
      </c>
      <c r="AZ21" s="177">
        <f>_xlfn.XLOOKUP(AT21,'Week 4'!$A:$A,'Week 4'!$H:$H)</f>
        <v>0</v>
      </c>
      <c r="BA21" s="178">
        <f t="shared" si="8"/>
        <v>0</v>
      </c>
      <c r="BB21" s="179"/>
      <c r="BC21" s="174" t="str">
        <f>IF(ISBLANK(Teams!$H6),"",Teams!$H6)</f>
        <v>Heather Cash</v>
      </c>
      <c r="BD21" s="175" t="str">
        <f>_xlfn.XLOOKUP(BC21,'Week 5'!$A:$A,'Week 5'!$B:$B)</f>
        <v/>
      </c>
      <c r="BE21" s="175" t="str">
        <f>_xlfn.XLOOKUP(BC21,'Week 5'!$A:$A,'Week 5'!$D:$D)</f>
        <v/>
      </c>
      <c r="BF21" s="176" t="str">
        <f>_xlfn.XLOOKUP(BC21,'Week 5'!$A:$A,'Week 5'!$E:$E)</f>
        <v/>
      </c>
      <c r="BG21" s="177">
        <f>_xlfn.XLOOKUP(BC21,'Week 5'!$A:$A,'Week 5'!$F:$F)</f>
        <v>0</v>
      </c>
      <c r="BH21" s="177">
        <f>_xlfn.XLOOKUP(BC21,'Week 5'!$A:$A,'Week 5'!$G:$G)</f>
        <v>0</v>
      </c>
      <c r="BI21" s="177">
        <f>_xlfn.XLOOKUP(BC21,'Week 5'!$A:$A,'Week 5'!$H:$H)</f>
        <v>0</v>
      </c>
      <c r="BJ21" s="178">
        <f t="shared" si="9"/>
        <v>0</v>
      </c>
    </row>
    <row r="22" spans="6:62" ht="15.5" x14ac:dyDescent="0.35">
      <c r="F22" s="172" t="str">
        <f>IF(ISBLANK(Teams!E14),"",Teams!E14)</f>
        <v/>
      </c>
      <c r="G22" s="130" t="str">
        <f>IF(F22="","",_xlfn.XLOOKUP(F22,Teams!E:E,Teams!F:F))</f>
        <v/>
      </c>
      <c r="L22" s="173" t="str">
        <f>IF(ISBLANK(Teams!H14),"",Teams!H14)</f>
        <v/>
      </c>
      <c r="M22" s="131" t="str">
        <f>IF(L22="","",_xlfn.XLOOKUP(L22,Teams!H:H,Teams!I:I))</f>
        <v/>
      </c>
      <c r="S22" s="174" t="str">
        <f>IF(ISBLANK(Teams!$H7),"",Teams!$H7)</f>
        <v>Janice Winston</v>
      </c>
      <c r="T22" s="175">
        <f>_xlfn.XLOOKUP(S22,'Week 1'!$A:$A,'Week 1'!$B:$B)</f>
        <v>0.87250000000000005</v>
      </c>
      <c r="U22" s="175">
        <f>_xlfn.XLOOKUP(S22,'Week 1'!$A:$A,'Week 1'!$D:$D)</f>
        <v>0.72</v>
      </c>
      <c r="V22" s="176">
        <f>_xlfn.XLOOKUP(S22,'Week 1'!$A:$A,'Week 1'!$E:$E)</f>
        <v>0.93799999999999994</v>
      </c>
      <c r="W22" s="177">
        <f>_xlfn.XLOOKUP(S22,'Week 1'!$A:$A,'Week 1'!$F:$F)</f>
        <v>2</v>
      </c>
      <c r="X22" s="177">
        <f>_xlfn.XLOOKUP(S22,'Week 1'!$A:$A,'Week 1'!$G:$G)</f>
        <v>1</v>
      </c>
      <c r="Y22" s="177">
        <f>_xlfn.XLOOKUP(S22,'Week 1'!$A:$A,'Week 1'!$H:$H)</f>
        <v>3</v>
      </c>
      <c r="Z22" s="178">
        <f t="shared" si="10"/>
        <v>6</v>
      </c>
      <c r="AA22" s="179"/>
      <c r="AB22" s="174" t="str">
        <f>IF(ISBLANK(Teams!$H7),"",Teams!$H7)</f>
        <v>Janice Winston</v>
      </c>
      <c r="AC22" s="175" t="str">
        <f>_xlfn.XLOOKUP(AB22,'Week 2'!$A:$A,'Week 2'!$B:$B)</f>
        <v/>
      </c>
      <c r="AD22" s="175" t="str">
        <f>_xlfn.XLOOKUP(AB22,'Week 2'!$A:$A,'Week 2'!$D:$D)</f>
        <v/>
      </c>
      <c r="AE22" s="176" t="str">
        <f>_xlfn.XLOOKUP(AB22,'Week 2'!$A:$A,'Week 2'!$E:$E)</f>
        <v/>
      </c>
      <c r="AF22" s="177">
        <f>_xlfn.XLOOKUP(AB22,'Week 2'!$A:$A,'Week 2'!$F:$F)</f>
        <v>0</v>
      </c>
      <c r="AG22" s="177">
        <f>_xlfn.XLOOKUP(AB22,'Week 2'!$A:$A,'Week 2'!$G:$G)</f>
        <v>0</v>
      </c>
      <c r="AH22" s="177">
        <f>_xlfn.XLOOKUP(AB22,'Week 2'!$A:$A,'Week 2'!$H:$H)</f>
        <v>0</v>
      </c>
      <c r="AI22" s="178">
        <f t="shared" si="11"/>
        <v>0</v>
      </c>
      <c r="AJ22" s="179"/>
      <c r="AK22" s="174" t="str">
        <f>IF(ISBLANK(Teams!$H7),"",Teams!$H7)</f>
        <v>Janice Winston</v>
      </c>
      <c r="AL22" s="175" t="str">
        <f>_xlfn.XLOOKUP(AK22,'Week 3'!$A:$A,'Week 3'!$B:$B)</f>
        <v/>
      </c>
      <c r="AM22" s="175" t="str">
        <f>_xlfn.XLOOKUP(AK22,'Week 3'!$A:$A,'Week 3'!$D:$D)</f>
        <v/>
      </c>
      <c r="AN22" s="176" t="str">
        <f>_xlfn.XLOOKUP(AK22,'Week 3'!$A:$A,'Week 3'!$E:$E)</f>
        <v/>
      </c>
      <c r="AO22" s="177">
        <f>_xlfn.XLOOKUP(AK22,'Week 3'!$A:$A,'Week 3'!$F:$F)</f>
        <v>0</v>
      </c>
      <c r="AP22" s="177">
        <f>_xlfn.XLOOKUP(AK22,'Week 3'!$A:$A,'Week 3'!$G:$G)</f>
        <v>0</v>
      </c>
      <c r="AQ22" s="177">
        <f>_xlfn.XLOOKUP(AK22,'Week 3'!$A:$A,'Week 3'!$H:$H)</f>
        <v>0</v>
      </c>
      <c r="AR22" s="178">
        <f t="shared" si="7"/>
        <v>0</v>
      </c>
      <c r="AS22" s="179"/>
      <c r="AT22" s="174" t="str">
        <f>IF(ISBLANK(Teams!$H7),"",Teams!$H7)</f>
        <v>Janice Winston</v>
      </c>
      <c r="AU22" s="175" t="str">
        <f>_xlfn.XLOOKUP(AT22,'Week 4'!$A:$A,'Week 4'!$B:$B)</f>
        <v/>
      </c>
      <c r="AV22" s="175" t="str">
        <f>_xlfn.XLOOKUP(AT22,'Week 4'!$A:$A,'Week 4'!$D:$D)</f>
        <v/>
      </c>
      <c r="AW22" s="176" t="str">
        <f>_xlfn.XLOOKUP(AT22,'Week 4'!$A:$A,'Week 4'!$E:$E)</f>
        <v/>
      </c>
      <c r="AX22" s="177">
        <f>_xlfn.XLOOKUP(AT22,'Week 4'!$A:$A,'Week 4'!$F:$F)</f>
        <v>0</v>
      </c>
      <c r="AY22" s="177">
        <f>_xlfn.XLOOKUP(AT22,'Week 4'!$A:$A,'Week 4'!$G:$G)</f>
        <v>0</v>
      </c>
      <c r="AZ22" s="177">
        <f>_xlfn.XLOOKUP(AT22,'Week 4'!$A:$A,'Week 4'!$H:$H)</f>
        <v>0</v>
      </c>
      <c r="BA22" s="178">
        <f t="shared" si="8"/>
        <v>0</v>
      </c>
      <c r="BB22" s="179"/>
      <c r="BC22" s="174" t="str">
        <f>IF(ISBLANK(Teams!$H7),"",Teams!$H7)</f>
        <v>Janice Winston</v>
      </c>
      <c r="BD22" s="175" t="str">
        <f>_xlfn.XLOOKUP(BC22,'Week 5'!$A:$A,'Week 5'!$B:$B)</f>
        <v/>
      </c>
      <c r="BE22" s="175" t="str">
        <f>_xlfn.XLOOKUP(BC22,'Week 5'!$A:$A,'Week 5'!$D:$D)</f>
        <v/>
      </c>
      <c r="BF22" s="176" t="str">
        <f>_xlfn.XLOOKUP(BC22,'Week 5'!$A:$A,'Week 5'!$E:$E)</f>
        <v/>
      </c>
      <c r="BG22" s="177">
        <f>_xlfn.XLOOKUP(BC22,'Week 5'!$A:$A,'Week 5'!$F:$F)</f>
        <v>0</v>
      </c>
      <c r="BH22" s="177">
        <f>_xlfn.XLOOKUP(BC22,'Week 5'!$A:$A,'Week 5'!$G:$G)</f>
        <v>0</v>
      </c>
      <c r="BI22" s="177">
        <f>_xlfn.XLOOKUP(BC22,'Week 5'!$A:$A,'Week 5'!$H:$H)</f>
        <v>0</v>
      </c>
      <c r="BJ22" s="178">
        <f t="shared" si="9"/>
        <v>0</v>
      </c>
    </row>
    <row r="23" spans="6:62" ht="16" thickBot="1" x14ac:dyDescent="0.4">
      <c r="F23" s="133" t="s">
        <v>29</v>
      </c>
      <c r="G23" s="134">
        <f>SUM(G11:G22)</f>
        <v>42</v>
      </c>
      <c r="L23" s="135" t="s">
        <v>29</v>
      </c>
      <c r="M23" s="136">
        <f>SUM(M11:M22)</f>
        <v>41</v>
      </c>
      <c r="S23" s="174" t="str">
        <f>IF(ISBLANK(Teams!$H8),"",Teams!$H8)</f>
        <v>Keysanah Baldwin</v>
      </c>
      <c r="T23" s="175">
        <f>_xlfn.XLOOKUP(S23,'Week 1'!$A:$A,'Week 1'!$B:$B)</f>
        <v>0.8528</v>
      </c>
      <c r="U23" s="175">
        <f>_xlfn.XLOOKUP(S23,'Week 1'!$A:$A,'Week 1'!$D:$D)</f>
        <v>0.7138461538461538</v>
      </c>
      <c r="V23" s="176">
        <f>_xlfn.XLOOKUP(S23,'Week 1'!$A:$A,'Week 1'!$E:$E)</f>
        <v>0.90600000000000003</v>
      </c>
      <c r="W23" s="177">
        <f>_xlfn.XLOOKUP(S23,'Week 1'!$A:$A,'Week 1'!$F:$F)</f>
        <v>2</v>
      </c>
      <c r="X23" s="177">
        <f>_xlfn.XLOOKUP(S23,'Week 1'!$A:$A,'Week 1'!$G:$G)</f>
        <v>1</v>
      </c>
      <c r="Y23" s="177">
        <f>_xlfn.XLOOKUP(S23,'Week 1'!$A:$A,'Week 1'!$H:$H)</f>
        <v>3</v>
      </c>
      <c r="Z23" s="178">
        <f t="shared" si="10"/>
        <v>6</v>
      </c>
      <c r="AA23" s="179"/>
      <c r="AB23" s="174" t="str">
        <f>IF(ISBLANK(Teams!$H8),"",Teams!$H8)</f>
        <v>Keysanah Baldwin</v>
      </c>
      <c r="AC23" s="175" t="str">
        <f>_xlfn.XLOOKUP(AB23,'Week 2'!$A:$A,'Week 2'!$B:$B)</f>
        <v/>
      </c>
      <c r="AD23" s="175" t="str">
        <f>_xlfn.XLOOKUP(AB23,'Week 2'!$A:$A,'Week 2'!$D:$D)</f>
        <v/>
      </c>
      <c r="AE23" s="176" t="str">
        <f>_xlfn.XLOOKUP(AB23,'Week 2'!$A:$A,'Week 2'!$E:$E)</f>
        <v/>
      </c>
      <c r="AF23" s="177">
        <f>_xlfn.XLOOKUP(AB23,'Week 2'!$A:$A,'Week 2'!$F:$F)</f>
        <v>0</v>
      </c>
      <c r="AG23" s="177">
        <f>_xlfn.XLOOKUP(AB23,'Week 2'!$A:$A,'Week 2'!$G:$G)</f>
        <v>0</v>
      </c>
      <c r="AH23" s="177">
        <f>_xlfn.XLOOKUP(AB23,'Week 2'!$A:$A,'Week 2'!$H:$H)</f>
        <v>0</v>
      </c>
      <c r="AI23" s="178">
        <f t="shared" si="11"/>
        <v>0</v>
      </c>
      <c r="AJ23" s="179"/>
      <c r="AK23" s="174" t="str">
        <f>IF(ISBLANK(Teams!$H8),"",Teams!$H8)</f>
        <v>Keysanah Baldwin</v>
      </c>
      <c r="AL23" s="175" t="str">
        <f>_xlfn.XLOOKUP(AK23,'Week 3'!$A:$A,'Week 3'!$B:$B)</f>
        <v/>
      </c>
      <c r="AM23" s="175" t="str">
        <f>_xlfn.XLOOKUP(AK23,'Week 3'!$A:$A,'Week 3'!$D:$D)</f>
        <v/>
      </c>
      <c r="AN23" s="176" t="str">
        <f>_xlfn.XLOOKUP(AK23,'Week 3'!$A:$A,'Week 3'!$E:$E)</f>
        <v/>
      </c>
      <c r="AO23" s="177">
        <f>_xlfn.XLOOKUP(AK23,'Week 3'!$A:$A,'Week 3'!$F:$F)</f>
        <v>0</v>
      </c>
      <c r="AP23" s="177">
        <f>_xlfn.XLOOKUP(AK23,'Week 3'!$A:$A,'Week 3'!$G:$G)</f>
        <v>0</v>
      </c>
      <c r="AQ23" s="177">
        <f>_xlfn.XLOOKUP(AK23,'Week 3'!$A:$A,'Week 3'!$H:$H)</f>
        <v>0</v>
      </c>
      <c r="AR23" s="178">
        <f t="shared" si="7"/>
        <v>0</v>
      </c>
      <c r="AS23" s="179"/>
      <c r="AT23" s="174" t="str">
        <f>IF(ISBLANK(Teams!$H8),"",Teams!$H8)</f>
        <v>Keysanah Baldwin</v>
      </c>
      <c r="AU23" s="175" t="str">
        <f>_xlfn.XLOOKUP(AT23,'Week 4'!$A:$A,'Week 4'!$B:$B)</f>
        <v/>
      </c>
      <c r="AV23" s="175" t="str">
        <f>_xlfn.XLOOKUP(AT23,'Week 4'!$A:$A,'Week 4'!$D:$D)</f>
        <v/>
      </c>
      <c r="AW23" s="176" t="str">
        <f>_xlfn.XLOOKUP(AT23,'Week 4'!$A:$A,'Week 4'!$E:$E)</f>
        <v/>
      </c>
      <c r="AX23" s="177">
        <f>_xlfn.XLOOKUP(AT23,'Week 4'!$A:$A,'Week 4'!$F:$F)</f>
        <v>0</v>
      </c>
      <c r="AY23" s="177">
        <f>_xlfn.XLOOKUP(AT23,'Week 4'!$A:$A,'Week 4'!$G:$G)</f>
        <v>0</v>
      </c>
      <c r="AZ23" s="177">
        <f>_xlfn.XLOOKUP(AT23,'Week 4'!$A:$A,'Week 4'!$H:$H)</f>
        <v>0</v>
      </c>
      <c r="BA23" s="178">
        <f t="shared" si="8"/>
        <v>0</v>
      </c>
      <c r="BB23" s="179"/>
      <c r="BC23" s="174" t="str">
        <f>IF(ISBLANK(Teams!$H8),"",Teams!$H8)</f>
        <v>Keysanah Baldwin</v>
      </c>
      <c r="BD23" s="175" t="str">
        <f>_xlfn.XLOOKUP(BC23,'Week 5'!$A:$A,'Week 5'!$B:$B)</f>
        <v/>
      </c>
      <c r="BE23" s="175" t="str">
        <f>_xlfn.XLOOKUP(BC23,'Week 5'!$A:$A,'Week 5'!$D:$D)</f>
        <v/>
      </c>
      <c r="BF23" s="176" t="str">
        <f>_xlfn.XLOOKUP(BC23,'Week 5'!$A:$A,'Week 5'!$E:$E)</f>
        <v/>
      </c>
      <c r="BG23" s="177">
        <f>_xlfn.XLOOKUP(BC23,'Week 5'!$A:$A,'Week 5'!$F:$F)</f>
        <v>0</v>
      </c>
      <c r="BH23" s="177">
        <f>_xlfn.XLOOKUP(BC23,'Week 5'!$A:$A,'Week 5'!$G:$G)</f>
        <v>0</v>
      </c>
      <c r="BI23" s="177">
        <f>_xlfn.XLOOKUP(BC23,'Week 5'!$A:$A,'Week 5'!$H:$H)</f>
        <v>0</v>
      </c>
      <c r="BJ23" s="178">
        <f t="shared" si="9"/>
        <v>0</v>
      </c>
    </row>
    <row r="24" spans="6:62" ht="15" thickTop="1" x14ac:dyDescent="0.35">
      <c r="S24" s="174" t="str">
        <f>IF(ISBLANK(Teams!$H9),"",Teams!$H9)</f>
        <v>Erin Underwood</v>
      </c>
      <c r="T24" s="175">
        <f>_xlfn.XLOOKUP(S24,'Week 1'!$A:$A,'Week 1'!$B:$B)</f>
        <v>0.85419999999999996</v>
      </c>
      <c r="U24" s="175">
        <f>_xlfn.XLOOKUP(S24,'Week 1'!$A:$A,'Week 1'!$D:$D)</f>
        <v>0.8</v>
      </c>
      <c r="V24" s="176">
        <f>_xlfn.XLOOKUP(S24,'Week 1'!$A:$A,'Week 1'!$E:$E)</f>
        <v>0.93899999999999995</v>
      </c>
      <c r="W24" s="177">
        <f>_xlfn.XLOOKUP(S24,'Week 1'!$A:$A,'Week 1'!$F:$F)</f>
        <v>2</v>
      </c>
      <c r="X24" s="177">
        <f>_xlfn.XLOOKUP(S24,'Week 1'!$A:$A,'Week 1'!$G:$G)</f>
        <v>1</v>
      </c>
      <c r="Y24" s="177">
        <f>_xlfn.XLOOKUP(S24,'Week 1'!$A:$A,'Week 1'!$H:$H)</f>
        <v>3</v>
      </c>
      <c r="Z24" s="178">
        <f t="shared" si="10"/>
        <v>6</v>
      </c>
      <c r="AA24" s="179"/>
      <c r="AB24" s="174" t="str">
        <f>IF(ISBLANK(Teams!$H9),"",Teams!$H9)</f>
        <v>Erin Underwood</v>
      </c>
      <c r="AC24" s="175" t="str">
        <f>_xlfn.XLOOKUP(AB24,'Week 2'!$A:$A,'Week 2'!$B:$B)</f>
        <v/>
      </c>
      <c r="AD24" s="175" t="str">
        <f>_xlfn.XLOOKUP(AB24,'Week 2'!$A:$A,'Week 2'!$D:$D)</f>
        <v/>
      </c>
      <c r="AE24" s="176" t="str">
        <f>_xlfn.XLOOKUP(AB24,'Week 2'!$A:$A,'Week 2'!$E:$E)</f>
        <v/>
      </c>
      <c r="AF24" s="177">
        <f>_xlfn.XLOOKUP(AB24,'Week 2'!$A:$A,'Week 2'!$F:$F)</f>
        <v>0</v>
      </c>
      <c r="AG24" s="177">
        <f>_xlfn.XLOOKUP(AB24,'Week 2'!$A:$A,'Week 2'!$G:$G)</f>
        <v>0</v>
      </c>
      <c r="AH24" s="177">
        <f>_xlfn.XLOOKUP(AB24,'Week 2'!$A:$A,'Week 2'!$H:$H)</f>
        <v>0</v>
      </c>
      <c r="AI24" s="178">
        <f t="shared" si="11"/>
        <v>0</v>
      </c>
      <c r="AJ24" s="179"/>
      <c r="AK24" s="174" t="str">
        <f>IF(ISBLANK(Teams!$H9),"",Teams!$H9)</f>
        <v>Erin Underwood</v>
      </c>
      <c r="AL24" s="175" t="str">
        <f>_xlfn.XLOOKUP(AK24,'Week 3'!$A:$A,'Week 3'!$B:$B)</f>
        <v/>
      </c>
      <c r="AM24" s="175" t="str">
        <f>_xlfn.XLOOKUP(AK24,'Week 3'!$A:$A,'Week 3'!$D:$D)</f>
        <v/>
      </c>
      <c r="AN24" s="176" t="str">
        <f>_xlfn.XLOOKUP(AK24,'Week 3'!$A:$A,'Week 3'!$E:$E)</f>
        <v/>
      </c>
      <c r="AO24" s="177">
        <f>_xlfn.XLOOKUP(AK24,'Week 3'!$A:$A,'Week 3'!$F:$F)</f>
        <v>0</v>
      </c>
      <c r="AP24" s="177">
        <f>_xlfn.XLOOKUP(AK24,'Week 3'!$A:$A,'Week 3'!$G:$G)</f>
        <v>0</v>
      </c>
      <c r="AQ24" s="177">
        <f>_xlfn.XLOOKUP(AK24,'Week 3'!$A:$A,'Week 3'!$H:$H)</f>
        <v>0</v>
      </c>
      <c r="AR24" s="178">
        <f t="shared" si="7"/>
        <v>0</v>
      </c>
      <c r="AS24" s="179"/>
      <c r="AT24" s="174" t="str">
        <f>IF(ISBLANK(Teams!$H9),"",Teams!$H9)</f>
        <v>Erin Underwood</v>
      </c>
      <c r="AU24" s="175" t="str">
        <f>_xlfn.XLOOKUP(AT24,'Week 4'!$A:$A,'Week 4'!$B:$B)</f>
        <v/>
      </c>
      <c r="AV24" s="175" t="str">
        <f>_xlfn.XLOOKUP(AT24,'Week 4'!$A:$A,'Week 4'!$D:$D)</f>
        <v/>
      </c>
      <c r="AW24" s="176" t="str">
        <f>_xlfn.XLOOKUP(AT24,'Week 4'!$A:$A,'Week 4'!$E:$E)</f>
        <v/>
      </c>
      <c r="AX24" s="177">
        <f>_xlfn.XLOOKUP(AT24,'Week 4'!$A:$A,'Week 4'!$F:$F)</f>
        <v>0</v>
      </c>
      <c r="AY24" s="177">
        <f>_xlfn.XLOOKUP(AT24,'Week 4'!$A:$A,'Week 4'!$G:$G)</f>
        <v>0</v>
      </c>
      <c r="AZ24" s="177">
        <f>_xlfn.XLOOKUP(AT24,'Week 4'!$A:$A,'Week 4'!$H:$H)</f>
        <v>0</v>
      </c>
      <c r="BA24" s="178">
        <f t="shared" si="8"/>
        <v>0</v>
      </c>
      <c r="BB24" s="179"/>
      <c r="BC24" s="174" t="str">
        <f>IF(ISBLANK(Teams!$H9),"",Teams!$H9)</f>
        <v>Erin Underwood</v>
      </c>
      <c r="BD24" s="175" t="str">
        <f>_xlfn.XLOOKUP(BC24,'Week 5'!$A:$A,'Week 5'!$B:$B)</f>
        <v/>
      </c>
      <c r="BE24" s="175" t="str">
        <f>_xlfn.XLOOKUP(BC24,'Week 5'!$A:$A,'Week 5'!$D:$D)</f>
        <v/>
      </c>
      <c r="BF24" s="176" t="str">
        <f>_xlfn.XLOOKUP(BC24,'Week 5'!$A:$A,'Week 5'!$E:$E)</f>
        <v/>
      </c>
      <c r="BG24" s="177">
        <f>_xlfn.XLOOKUP(BC24,'Week 5'!$A:$A,'Week 5'!$F:$F)</f>
        <v>0</v>
      </c>
      <c r="BH24" s="177">
        <f>_xlfn.XLOOKUP(BC24,'Week 5'!$A:$A,'Week 5'!$G:$G)</f>
        <v>0</v>
      </c>
      <c r="BI24" s="177">
        <f>_xlfn.XLOOKUP(BC24,'Week 5'!$A:$A,'Week 5'!$H:$H)</f>
        <v>0</v>
      </c>
      <c r="BJ24" s="178">
        <f t="shared" si="9"/>
        <v>0</v>
      </c>
    </row>
    <row r="25" spans="6:62" x14ac:dyDescent="0.35">
      <c r="S25" s="174" t="str">
        <f>IF(ISBLANK(Teams!$H10),"",Teams!$H10)</f>
        <v/>
      </c>
      <c r="T25" s="175" t="str">
        <f>_xlfn.XLOOKUP(S25,'Week 1'!$A:$A,'Week 1'!$B:$B)</f>
        <v/>
      </c>
      <c r="U25" s="175" t="str">
        <f>_xlfn.XLOOKUP(S25,'Week 1'!$A:$A,'Week 1'!$D:$D)</f>
        <v/>
      </c>
      <c r="V25" s="176" t="str">
        <f>_xlfn.XLOOKUP(S25,'Week 1'!$A:$A,'Week 1'!$E:$E)</f>
        <v/>
      </c>
      <c r="W25" s="177" t="str">
        <f>_xlfn.XLOOKUP(S25,'Week 1'!$A:$A,'Week 1'!$F:$F)</f>
        <v/>
      </c>
      <c r="X25" s="177" t="str">
        <f>_xlfn.XLOOKUP(S25,'Week 1'!$A:$A,'Week 1'!$G:$G)</f>
        <v/>
      </c>
      <c r="Y25" s="177">
        <f>_xlfn.XLOOKUP(S25,'Week 1'!$A:$A,'Week 1'!$H:$H)</f>
        <v>0</v>
      </c>
      <c r="Z25" s="178">
        <f t="shared" si="10"/>
        <v>0</v>
      </c>
      <c r="AA25" s="179"/>
      <c r="AB25" s="174" t="str">
        <f>IF(ISBLANK(Teams!$H10),"",Teams!$H10)</f>
        <v/>
      </c>
      <c r="AC25" s="175" t="str">
        <f>_xlfn.XLOOKUP(AB25,'Week 2'!$A:$A,'Week 2'!$B:$B)</f>
        <v/>
      </c>
      <c r="AD25" s="175" t="str">
        <f>_xlfn.XLOOKUP(AB25,'Week 2'!$A:$A,'Week 2'!$D:$D)</f>
        <v/>
      </c>
      <c r="AE25" s="176" t="str">
        <f>_xlfn.XLOOKUP(AB25,'Week 2'!$A:$A,'Week 2'!$E:$E)</f>
        <v/>
      </c>
      <c r="AF25" s="177">
        <f>_xlfn.XLOOKUP(AB25,'Week 2'!$A:$A,'Week 2'!$F:$F)</f>
        <v>0</v>
      </c>
      <c r="AG25" s="177">
        <f>_xlfn.XLOOKUP(AB25,'Week 2'!$A:$A,'Week 2'!$G:$G)</f>
        <v>0</v>
      </c>
      <c r="AH25" s="177">
        <f>_xlfn.XLOOKUP(AB25,'Week 2'!$A:$A,'Week 2'!$H:$H)</f>
        <v>0</v>
      </c>
      <c r="AI25" s="178">
        <f t="shared" si="11"/>
        <v>0</v>
      </c>
      <c r="AJ25" s="179"/>
      <c r="AK25" s="174" t="str">
        <f>IF(ISBLANK(Teams!$H10),"",Teams!$H10)</f>
        <v/>
      </c>
      <c r="AL25" s="175" t="str">
        <f>_xlfn.XLOOKUP(AK25,'Week 3'!$A:$A,'Week 3'!$B:$B)</f>
        <v/>
      </c>
      <c r="AM25" s="175" t="str">
        <f>_xlfn.XLOOKUP(AK25,'Week 3'!$A:$A,'Week 3'!$D:$D)</f>
        <v/>
      </c>
      <c r="AN25" s="176" t="str">
        <f>_xlfn.XLOOKUP(AK25,'Week 3'!$A:$A,'Week 3'!$E:$E)</f>
        <v/>
      </c>
      <c r="AO25" s="177">
        <f>_xlfn.XLOOKUP(AK25,'Week 3'!$A:$A,'Week 3'!$F:$F)</f>
        <v>0</v>
      </c>
      <c r="AP25" s="177">
        <f>_xlfn.XLOOKUP(AK25,'Week 3'!$A:$A,'Week 3'!$G:$G)</f>
        <v>0</v>
      </c>
      <c r="AQ25" s="177">
        <f>_xlfn.XLOOKUP(AK25,'Week 3'!$A:$A,'Week 3'!$H:$H)</f>
        <v>0</v>
      </c>
      <c r="AR25" s="178">
        <f t="shared" si="7"/>
        <v>0</v>
      </c>
      <c r="AS25" s="179"/>
      <c r="AT25" s="174" t="str">
        <f>IF(ISBLANK(Teams!$H10),"",Teams!$H10)</f>
        <v/>
      </c>
      <c r="AU25" s="175" t="str">
        <f>_xlfn.XLOOKUP(AT25,'Week 4'!$A:$A,'Week 4'!$B:$B)</f>
        <v/>
      </c>
      <c r="AV25" s="175" t="str">
        <f>_xlfn.XLOOKUP(AT25,'Week 4'!$A:$A,'Week 4'!$D:$D)</f>
        <v/>
      </c>
      <c r="AW25" s="176" t="str">
        <f>_xlfn.XLOOKUP(AT25,'Week 4'!$A:$A,'Week 4'!$E:$E)</f>
        <v/>
      </c>
      <c r="AX25" s="177">
        <f>_xlfn.XLOOKUP(AT25,'Week 4'!$A:$A,'Week 4'!$F:$F)</f>
        <v>0</v>
      </c>
      <c r="AY25" s="177">
        <f>_xlfn.XLOOKUP(AT25,'Week 4'!$A:$A,'Week 4'!$G:$G)</f>
        <v>0</v>
      </c>
      <c r="AZ25" s="177">
        <f>_xlfn.XLOOKUP(AT25,'Week 4'!$A:$A,'Week 4'!$H:$H)</f>
        <v>0</v>
      </c>
      <c r="BA25" s="178">
        <f t="shared" si="8"/>
        <v>0</v>
      </c>
      <c r="BB25" s="179"/>
      <c r="BC25" s="174" t="str">
        <f>IF(ISBLANK(Teams!$H10),"",Teams!$H10)</f>
        <v/>
      </c>
      <c r="BD25" s="175" t="str">
        <f>_xlfn.XLOOKUP(BC25,'Week 5'!$A:$A,'Week 5'!$B:$B)</f>
        <v/>
      </c>
      <c r="BE25" s="175" t="str">
        <f>_xlfn.XLOOKUP(BC25,'Week 5'!$A:$A,'Week 5'!$D:$D)</f>
        <v/>
      </c>
      <c r="BF25" s="176" t="str">
        <f>_xlfn.XLOOKUP(BC25,'Week 5'!$A:$A,'Week 5'!$E:$E)</f>
        <v/>
      </c>
      <c r="BG25" s="177">
        <f>_xlfn.XLOOKUP(BC25,'Week 5'!$A:$A,'Week 5'!$F:$F)</f>
        <v>0</v>
      </c>
      <c r="BH25" s="177">
        <f>_xlfn.XLOOKUP(BC25,'Week 5'!$A:$A,'Week 5'!$G:$G)</f>
        <v>0</v>
      </c>
      <c r="BI25" s="177">
        <f>_xlfn.XLOOKUP(BC25,'Week 5'!$A:$A,'Week 5'!$H:$H)</f>
        <v>0</v>
      </c>
      <c r="BJ25" s="178">
        <f t="shared" si="9"/>
        <v>0</v>
      </c>
    </row>
    <row r="26" spans="6:62" x14ac:dyDescent="0.35">
      <c r="S26" s="174" t="str">
        <f>IF(ISBLANK(Teams!$H11),"",Teams!$H11)</f>
        <v/>
      </c>
      <c r="T26" s="175" t="str">
        <f>_xlfn.XLOOKUP(S26,'Week 1'!$A:$A,'Week 1'!$B:$B)</f>
        <v/>
      </c>
      <c r="U26" s="175" t="str">
        <f>_xlfn.XLOOKUP(S26,'Week 1'!$A:$A,'Week 1'!$D:$D)</f>
        <v/>
      </c>
      <c r="V26" s="176" t="str">
        <f>_xlfn.XLOOKUP(S26,'Week 1'!$A:$A,'Week 1'!$E:$E)</f>
        <v/>
      </c>
      <c r="W26" s="177" t="str">
        <f>_xlfn.XLOOKUP(S26,'Week 1'!$A:$A,'Week 1'!$F:$F)</f>
        <v/>
      </c>
      <c r="X26" s="177" t="str">
        <f>_xlfn.XLOOKUP(S26,'Week 1'!$A:$A,'Week 1'!$G:$G)</f>
        <v/>
      </c>
      <c r="Y26" s="177">
        <f>_xlfn.XLOOKUP(S26,'Week 1'!$A:$A,'Week 1'!$H:$H)</f>
        <v>0</v>
      </c>
      <c r="Z26" s="178">
        <f t="shared" si="10"/>
        <v>0</v>
      </c>
      <c r="AA26" s="179"/>
      <c r="AB26" s="174" t="str">
        <f>IF(ISBLANK(Teams!$H11),"",Teams!$H11)</f>
        <v/>
      </c>
      <c r="AC26" s="175" t="str">
        <f>_xlfn.XLOOKUP(AB26,'Week 2'!$A:$A,'Week 2'!$B:$B)</f>
        <v/>
      </c>
      <c r="AD26" s="175" t="str">
        <f>_xlfn.XLOOKUP(AB26,'Week 2'!$A:$A,'Week 2'!$D:$D)</f>
        <v/>
      </c>
      <c r="AE26" s="176" t="str">
        <f>_xlfn.XLOOKUP(AB26,'Week 2'!$A:$A,'Week 2'!$E:$E)</f>
        <v/>
      </c>
      <c r="AF26" s="177">
        <f>_xlfn.XLOOKUP(AB26,'Week 2'!$A:$A,'Week 2'!$F:$F)</f>
        <v>0</v>
      </c>
      <c r="AG26" s="177">
        <f>_xlfn.XLOOKUP(AB26,'Week 2'!$A:$A,'Week 2'!$G:$G)</f>
        <v>0</v>
      </c>
      <c r="AH26" s="177">
        <f>_xlfn.XLOOKUP(AB26,'Week 2'!$A:$A,'Week 2'!$H:$H)</f>
        <v>0</v>
      </c>
      <c r="AI26" s="178">
        <f t="shared" si="11"/>
        <v>0</v>
      </c>
      <c r="AJ26" s="179"/>
      <c r="AK26" s="174" t="str">
        <f>IF(ISBLANK(Teams!$H11),"",Teams!$H11)</f>
        <v/>
      </c>
      <c r="AL26" s="175" t="str">
        <f>_xlfn.XLOOKUP(AK26,'Week 3'!$A:$A,'Week 3'!$B:$B)</f>
        <v/>
      </c>
      <c r="AM26" s="175" t="str">
        <f>_xlfn.XLOOKUP(AK26,'Week 3'!$A:$A,'Week 3'!$D:$D)</f>
        <v/>
      </c>
      <c r="AN26" s="176" t="str">
        <f>_xlfn.XLOOKUP(AK26,'Week 3'!$A:$A,'Week 3'!$E:$E)</f>
        <v/>
      </c>
      <c r="AO26" s="177">
        <f>_xlfn.XLOOKUP(AK26,'Week 3'!$A:$A,'Week 3'!$F:$F)</f>
        <v>0</v>
      </c>
      <c r="AP26" s="177">
        <f>_xlfn.XLOOKUP(AK26,'Week 3'!$A:$A,'Week 3'!$G:$G)</f>
        <v>0</v>
      </c>
      <c r="AQ26" s="177">
        <f>_xlfn.XLOOKUP(AK26,'Week 3'!$A:$A,'Week 3'!$H:$H)</f>
        <v>0</v>
      </c>
      <c r="AR26" s="178">
        <f t="shared" si="7"/>
        <v>0</v>
      </c>
      <c r="AS26" s="179"/>
      <c r="AT26" s="174" t="str">
        <f>IF(ISBLANK(Teams!$H11),"",Teams!$H11)</f>
        <v/>
      </c>
      <c r="AU26" s="175" t="str">
        <f>_xlfn.XLOOKUP(AT26,'Week 4'!$A:$A,'Week 4'!$B:$B)</f>
        <v/>
      </c>
      <c r="AV26" s="175" t="str">
        <f>_xlfn.XLOOKUP(AT26,'Week 4'!$A:$A,'Week 4'!$D:$D)</f>
        <v/>
      </c>
      <c r="AW26" s="176" t="str">
        <f>_xlfn.XLOOKUP(AT26,'Week 4'!$A:$A,'Week 4'!$E:$E)</f>
        <v/>
      </c>
      <c r="AX26" s="177">
        <f>_xlfn.XLOOKUP(AT26,'Week 4'!$A:$A,'Week 4'!$F:$F)</f>
        <v>0</v>
      </c>
      <c r="AY26" s="177">
        <f>_xlfn.XLOOKUP(AT26,'Week 4'!$A:$A,'Week 4'!$G:$G)</f>
        <v>0</v>
      </c>
      <c r="AZ26" s="177">
        <f>_xlfn.XLOOKUP(AT26,'Week 4'!$A:$A,'Week 4'!$H:$H)</f>
        <v>0</v>
      </c>
      <c r="BA26" s="178">
        <f t="shared" si="8"/>
        <v>0</v>
      </c>
      <c r="BB26" s="179"/>
      <c r="BC26" s="174" t="str">
        <f>IF(ISBLANK(Teams!$H11),"",Teams!$H11)</f>
        <v/>
      </c>
      <c r="BD26" s="175" t="str">
        <f>_xlfn.XLOOKUP(BC26,'Week 5'!$A:$A,'Week 5'!$B:$B)</f>
        <v/>
      </c>
      <c r="BE26" s="175" t="str">
        <f>_xlfn.XLOOKUP(BC26,'Week 5'!$A:$A,'Week 5'!$D:$D)</f>
        <v/>
      </c>
      <c r="BF26" s="176" t="str">
        <f>_xlfn.XLOOKUP(BC26,'Week 5'!$A:$A,'Week 5'!$E:$E)</f>
        <v/>
      </c>
      <c r="BG26" s="177">
        <f>_xlfn.XLOOKUP(BC26,'Week 5'!$A:$A,'Week 5'!$F:$F)</f>
        <v>0</v>
      </c>
      <c r="BH26" s="177">
        <f>_xlfn.XLOOKUP(BC26,'Week 5'!$A:$A,'Week 5'!$G:$G)</f>
        <v>0</v>
      </c>
      <c r="BI26" s="177">
        <f>_xlfn.XLOOKUP(BC26,'Week 5'!$A:$A,'Week 5'!$H:$H)</f>
        <v>0</v>
      </c>
      <c r="BJ26" s="178">
        <f t="shared" si="9"/>
        <v>0</v>
      </c>
    </row>
    <row r="27" spans="6:62" x14ac:dyDescent="0.35">
      <c r="S27" s="174" t="str">
        <f>IF(ISBLANK(Teams!$H12),"",Teams!$H12)</f>
        <v/>
      </c>
      <c r="T27" s="175" t="str">
        <f>_xlfn.XLOOKUP(S27,'Week 1'!$A:$A,'Week 1'!$B:$B)</f>
        <v/>
      </c>
      <c r="U27" s="175" t="str">
        <f>_xlfn.XLOOKUP(S27,'Week 1'!$A:$A,'Week 1'!$D:$D)</f>
        <v/>
      </c>
      <c r="V27" s="176" t="str">
        <f>_xlfn.XLOOKUP(S27,'Week 1'!$A:$A,'Week 1'!$E:$E)</f>
        <v/>
      </c>
      <c r="W27" s="177" t="str">
        <f>_xlfn.XLOOKUP(S27,'Week 1'!$A:$A,'Week 1'!$F:$F)</f>
        <v/>
      </c>
      <c r="X27" s="177" t="str">
        <f>_xlfn.XLOOKUP(S27,'Week 1'!$A:$A,'Week 1'!$G:$G)</f>
        <v/>
      </c>
      <c r="Y27" s="177">
        <f>_xlfn.XLOOKUP(S27,'Week 1'!$A:$A,'Week 1'!$H:$H)</f>
        <v>0</v>
      </c>
      <c r="Z27" s="178">
        <f t="shared" si="10"/>
        <v>0</v>
      </c>
      <c r="AA27" s="179"/>
      <c r="AB27" s="174" t="str">
        <f>IF(ISBLANK(Teams!$H12),"",Teams!$H12)</f>
        <v/>
      </c>
      <c r="AC27" s="175" t="str">
        <f>_xlfn.XLOOKUP(AB27,'Week 2'!$A:$A,'Week 2'!$B:$B)</f>
        <v/>
      </c>
      <c r="AD27" s="175" t="str">
        <f>_xlfn.XLOOKUP(AB27,'Week 2'!$A:$A,'Week 2'!$D:$D)</f>
        <v/>
      </c>
      <c r="AE27" s="176" t="str">
        <f>_xlfn.XLOOKUP(AB27,'Week 2'!$A:$A,'Week 2'!$E:$E)</f>
        <v/>
      </c>
      <c r="AF27" s="177">
        <f>_xlfn.XLOOKUP(AB27,'Week 2'!$A:$A,'Week 2'!$F:$F)</f>
        <v>0</v>
      </c>
      <c r="AG27" s="177">
        <f>_xlfn.XLOOKUP(AB27,'Week 2'!$A:$A,'Week 2'!$G:$G)</f>
        <v>0</v>
      </c>
      <c r="AH27" s="177">
        <f>_xlfn.XLOOKUP(AB27,'Week 2'!$A:$A,'Week 2'!$H:$H)</f>
        <v>0</v>
      </c>
      <c r="AI27" s="178">
        <f t="shared" si="11"/>
        <v>0</v>
      </c>
      <c r="AJ27" s="179"/>
      <c r="AK27" s="174" t="str">
        <f>IF(ISBLANK(Teams!$H12),"",Teams!$H12)</f>
        <v/>
      </c>
      <c r="AL27" s="175" t="str">
        <f>_xlfn.XLOOKUP(AK27,'Week 3'!$A:$A,'Week 3'!$B:$B)</f>
        <v/>
      </c>
      <c r="AM27" s="175" t="str">
        <f>_xlfn.XLOOKUP(AK27,'Week 3'!$A:$A,'Week 3'!$D:$D)</f>
        <v/>
      </c>
      <c r="AN27" s="176" t="str">
        <f>_xlfn.XLOOKUP(AK27,'Week 3'!$A:$A,'Week 3'!$E:$E)</f>
        <v/>
      </c>
      <c r="AO27" s="177">
        <f>_xlfn.XLOOKUP(AK27,'Week 3'!$A:$A,'Week 3'!$F:$F)</f>
        <v>0</v>
      </c>
      <c r="AP27" s="177">
        <f>_xlfn.XLOOKUP(AK27,'Week 3'!$A:$A,'Week 3'!$G:$G)</f>
        <v>0</v>
      </c>
      <c r="AQ27" s="177">
        <f>_xlfn.XLOOKUP(AK27,'Week 3'!$A:$A,'Week 3'!$H:$H)</f>
        <v>0</v>
      </c>
      <c r="AR27" s="178">
        <f t="shared" si="7"/>
        <v>0</v>
      </c>
      <c r="AS27" s="179"/>
      <c r="AT27" s="174" t="str">
        <f>IF(ISBLANK(Teams!$H12),"",Teams!$H12)</f>
        <v/>
      </c>
      <c r="AU27" s="175" t="str">
        <f>_xlfn.XLOOKUP(AT27,'Week 4'!$A:$A,'Week 4'!$B:$B)</f>
        <v/>
      </c>
      <c r="AV27" s="175" t="str">
        <f>_xlfn.XLOOKUP(AT27,'Week 4'!$A:$A,'Week 4'!$D:$D)</f>
        <v/>
      </c>
      <c r="AW27" s="176" t="str">
        <f>_xlfn.XLOOKUP(AT27,'Week 4'!$A:$A,'Week 4'!$E:$E)</f>
        <v/>
      </c>
      <c r="AX27" s="177">
        <f>_xlfn.XLOOKUP(AT27,'Week 4'!$A:$A,'Week 4'!$F:$F)</f>
        <v>0</v>
      </c>
      <c r="AY27" s="177">
        <f>_xlfn.XLOOKUP(AT27,'Week 4'!$A:$A,'Week 4'!$G:$G)</f>
        <v>0</v>
      </c>
      <c r="AZ27" s="177">
        <f>_xlfn.XLOOKUP(AT27,'Week 4'!$A:$A,'Week 4'!$H:$H)</f>
        <v>0</v>
      </c>
      <c r="BA27" s="178">
        <f t="shared" si="8"/>
        <v>0</v>
      </c>
      <c r="BB27" s="179"/>
      <c r="BC27" s="174" t="str">
        <f>IF(ISBLANK(Teams!$H12),"",Teams!$H12)</f>
        <v/>
      </c>
      <c r="BD27" s="175" t="str">
        <f>_xlfn.XLOOKUP(BC27,'Week 5'!$A:$A,'Week 5'!$B:$B)</f>
        <v/>
      </c>
      <c r="BE27" s="175" t="str">
        <f>_xlfn.XLOOKUP(BC27,'Week 5'!$A:$A,'Week 5'!$D:$D)</f>
        <v/>
      </c>
      <c r="BF27" s="176" t="str">
        <f>_xlfn.XLOOKUP(BC27,'Week 5'!$A:$A,'Week 5'!$E:$E)</f>
        <v/>
      </c>
      <c r="BG27" s="177">
        <f>_xlfn.XLOOKUP(BC27,'Week 5'!$A:$A,'Week 5'!$F:$F)</f>
        <v>0</v>
      </c>
      <c r="BH27" s="177">
        <f>_xlfn.XLOOKUP(BC27,'Week 5'!$A:$A,'Week 5'!$G:$G)</f>
        <v>0</v>
      </c>
      <c r="BI27" s="177">
        <f>_xlfn.XLOOKUP(BC27,'Week 5'!$A:$A,'Week 5'!$H:$H)</f>
        <v>0</v>
      </c>
      <c r="BJ27" s="178">
        <f t="shared" si="9"/>
        <v>0</v>
      </c>
    </row>
    <row r="28" spans="6:62" x14ac:dyDescent="0.35">
      <c r="S28" s="180"/>
      <c r="T28" s="180"/>
      <c r="U28" s="180"/>
      <c r="V28" s="180"/>
      <c r="W28" s="180"/>
      <c r="X28" s="180"/>
      <c r="Y28" s="180"/>
      <c r="Z28" s="181">
        <f>SUM(Z18:Z27)</f>
        <v>41</v>
      </c>
      <c r="AA28" s="179"/>
      <c r="AB28" s="180"/>
      <c r="AC28" s="180"/>
      <c r="AD28" s="180"/>
      <c r="AE28" s="180"/>
      <c r="AF28" s="180"/>
      <c r="AG28" s="180"/>
      <c r="AH28" s="180"/>
      <c r="AI28" s="181">
        <f>SUM(AI18:AI27)</f>
        <v>0</v>
      </c>
      <c r="AJ28" s="179"/>
      <c r="AK28" s="180"/>
      <c r="AL28" s="180"/>
      <c r="AM28" s="180"/>
      <c r="AN28" s="180"/>
      <c r="AO28" s="180"/>
      <c r="AP28" s="180"/>
      <c r="AQ28" s="180"/>
      <c r="AR28" s="181">
        <f>SUM(AR18:AR27)</f>
        <v>0</v>
      </c>
      <c r="AS28" s="179"/>
      <c r="AT28" s="180"/>
      <c r="AU28" s="180"/>
      <c r="AV28" s="180"/>
      <c r="AW28" s="180"/>
      <c r="AX28" s="180"/>
      <c r="AY28" s="180"/>
      <c r="AZ28" s="180"/>
      <c r="BA28" s="181">
        <f>SUM(BA18:BA27)</f>
        <v>0</v>
      </c>
      <c r="BB28" s="179"/>
      <c r="BC28" s="180"/>
      <c r="BD28" s="180"/>
      <c r="BE28" s="180"/>
      <c r="BF28" s="180"/>
      <c r="BG28" s="180"/>
      <c r="BH28" s="180"/>
      <c r="BI28" s="180"/>
      <c r="BJ28" s="181">
        <f>SUM(BJ18:BJ27)</f>
        <v>0</v>
      </c>
    </row>
  </sheetData>
  <sheetProtection algorithmName="SHA-512" hashValue="VnwyvS+svrHgM6sPovZ6dVDmUPcH5W4MiR3WCA+OgQcgk7q+xiP0+IoY7/V0fwjWLGkouWzaqJYF26rgevEWCA==" saltValue="Rr3VmJb39mz0IzdWpEOttA==" spinCount="100000" sheet="1" objects="1" scenarios="1" formatCells="0" formatColumns="0" formatRows="0"/>
  <mergeCells count="20">
    <mergeCell ref="S16:W16"/>
    <mergeCell ref="X16:Z16"/>
    <mergeCell ref="S2:W2"/>
    <mergeCell ref="X2:Z2"/>
    <mergeCell ref="BC2:BG2"/>
    <mergeCell ref="AP2:AR2"/>
    <mergeCell ref="AK16:AO16"/>
    <mergeCell ref="AP16:AR16"/>
    <mergeCell ref="AB16:AF16"/>
    <mergeCell ref="AG16:AI16"/>
    <mergeCell ref="AB2:AF2"/>
    <mergeCell ref="AG2:AI2"/>
    <mergeCell ref="AK2:AO2"/>
    <mergeCell ref="BH2:BJ2"/>
    <mergeCell ref="BC16:BG16"/>
    <mergeCell ref="BH16:BJ16"/>
    <mergeCell ref="AT2:AX2"/>
    <mergeCell ref="AY2:BA2"/>
    <mergeCell ref="AT16:AX16"/>
    <mergeCell ref="AY16:BA16"/>
  </mergeCells>
  <conditionalFormatting sqref="V4:V13">
    <cfRule type="cellIs" dxfId="71" priority="105" operator="between">
      <formula>0.9</formula>
      <formula>0.9499</formula>
    </cfRule>
    <cfRule type="cellIs" dxfId="70" priority="106" operator="lessThan">
      <formula>0.9</formula>
    </cfRule>
    <cfRule type="cellIs" dxfId="69" priority="107" operator="greaterThan">
      <formula>0.94</formula>
    </cfRule>
  </conditionalFormatting>
  <conditionalFormatting sqref="V18:V27">
    <cfRule type="cellIs" dxfId="68" priority="87" operator="between">
      <formula>0.9</formula>
      <formula>0.9499</formula>
    </cfRule>
    <cfRule type="cellIs" dxfId="67" priority="88" operator="lessThan">
      <formula>0.9</formula>
    </cfRule>
    <cfRule type="cellIs" dxfId="66" priority="89" operator="greaterThan">
      <formula>0.94</formula>
    </cfRule>
  </conditionalFormatting>
  <conditionalFormatting sqref="U4:U13">
    <cfRule type="cellIs" dxfId="65" priority="79" operator="lessThan">
      <formula>0.95</formula>
    </cfRule>
    <cfRule type="cellIs" dxfId="64" priority="81" operator="between">
      <formula>0.95</formula>
      <formula>1.05</formula>
    </cfRule>
    <cfRule type="cellIs" dxfId="63" priority="83" operator="between">
      <formula>1.05</formula>
      <formula>1.15</formula>
    </cfRule>
    <cfRule type="cellIs" dxfId="62" priority="86" operator="greaterThan">
      <formula>1.15</formula>
    </cfRule>
  </conditionalFormatting>
  <conditionalFormatting sqref="U18:U27">
    <cfRule type="cellIs" dxfId="61" priority="78" operator="lessThan">
      <formula>0.95</formula>
    </cfRule>
    <cfRule type="cellIs" dxfId="60" priority="80" operator="between">
      <formula>0.95</formula>
      <formula>1.05</formula>
    </cfRule>
    <cfRule type="cellIs" dxfId="59" priority="82" operator="between">
      <formula>1.05</formula>
      <formula>11.5</formula>
    </cfRule>
    <cfRule type="cellIs" dxfId="58" priority="84" operator="greaterThan">
      <formula>1.15</formula>
    </cfRule>
  </conditionalFormatting>
  <conditionalFormatting sqref="AE18:AE27">
    <cfRule type="cellIs" dxfId="57" priority="54" operator="between">
      <formula>0.9</formula>
      <formula>0.9499</formula>
    </cfRule>
    <cfRule type="cellIs" dxfId="56" priority="55" operator="lessThan">
      <formula>0.9</formula>
    </cfRule>
    <cfRule type="cellIs" dxfId="55" priority="56" operator="greaterThan">
      <formula>0.94</formula>
    </cfRule>
  </conditionalFormatting>
  <conditionalFormatting sqref="AD18:AD27">
    <cfRule type="cellIs" dxfId="54" priority="50" operator="lessThan">
      <formula>0.95</formula>
    </cfRule>
    <cfRule type="cellIs" dxfId="53" priority="51" operator="between">
      <formula>0.95</formula>
      <formula>1.05</formula>
    </cfRule>
    <cfRule type="cellIs" dxfId="52" priority="52" operator="between">
      <formula>1.05</formula>
      <formula>11.5</formula>
    </cfRule>
    <cfRule type="cellIs" dxfId="51" priority="53" operator="greaterThan">
      <formula>1.15</formula>
    </cfRule>
  </conditionalFormatting>
  <conditionalFormatting sqref="AE4:AE13">
    <cfRule type="cellIs" dxfId="50" priority="47" operator="between">
      <formula>0.9</formula>
      <formula>0.9499</formula>
    </cfRule>
    <cfRule type="cellIs" dxfId="49" priority="48" operator="lessThan">
      <formula>0.9</formula>
    </cfRule>
    <cfRule type="cellIs" dxfId="48" priority="49" operator="greaterThan">
      <formula>0.94</formula>
    </cfRule>
  </conditionalFormatting>
  <conditionalFormatting sqref="AD4:AD13">
    <cfRule type="cellIs" dxfId="47" priority="43" operator="lessThan">
      <formula>0.95</formula>
    </cfRule>
    <cfRule type="cellIs" dxfId="46" priority="44" operator="between">
      <formula>0.95</formula>
      <formula>1.05</formula>
    </cfRule>
    <cfRule type="cellIs" dxfId="45" priority="45" operator="between">
      <formula>1.05</formula>
      <formula>1.15</formula>
    </cfRule>
    <cfRule type="cellIs" dxfId="44" priority="46" operator="greaterThan">
      <formula>1.15</formula>
    </cfRule>
  </conditionalFormatting>
  <conditionalFormatting sqref="AN18:AN27">
    <cfRule type="cellIs" dxfId="43" priority="40" operator="between">
      <formula>0.9</formula>
      <formula>0.9499</formula>
    </cfRule>
    <cfRule type="cellIs" dxfId="42" priority="41" operator="lessThan">
      <formula>0.9</formula>
    </cfRule>
    <cfRule type="cellIs" dxfId="41" priority="42" operator="greaterThan">
      <formula>0.94</formula>
    </cfRule>
  </conditionalFormatting>
  <conditionalFormatting sqref="AM18:AM27">
    <cfRule type="cellIs" dxfId="40" priority="36" operator="lessThan">
      <formula>0.95</formula>
    </cfRule>
    <cfRule type="cellIs" dxfId="39" priority="37" operator="between">
      <formula>0.95</formula>
      <formula>1.05</formula>
    </cfRule>
    <cfRule type="cellIs" dxfId="38" priority="38" operator="between">
      <formula>1.05</formula>
      <formula>11.5</formula>
    </cfRule>
    <cfRule type="cellIs" dxfId="37" priority="39" operator="greaterThan">
      <formula>1.15</formula>
    </cfRule>
  </conditionalFormatting>
  <conditionalFormatting sqref="AN4:AN13">
    <cfRule type="cellIs" dxfId="36" priority="33" operator="between">
      <formula>0.9</formula>
      <formula>0.9499</formula>
    </cfRule>
    <cfRule type="cellIs" dxfId="35" priority="34" operator="lessThan">
      <formula>0.9</formula>
    </cfRule>
    <cfRule type="cellIs" dxfId="34" priority="35" operator="greaterThan">
      <formula>0.94</formula>
    </cfRule>
  </conditionalFormatting>
  <conditionalFormatting sqref="AM4:AM13">
    <cfRule type="cellIs" dxfId="33" priority="29" operator="lessThan">
      <formula>0.95</formula>
    </cfRule>
    <cfRule type="cellIs" dxfId="32" priority="30" operator="between">
      <formula>0.95</formula>
      <formula>1.05</formula>
    </cfRule>
    <cfRule type="cellIs" dxfId="31" priority="31" operator="between">
      <formula>1.05</formula>
      <formula>1.15</formula>
    </cfRule>
    <cfRule type="cellIs" dxfId="30" priority="32" operator="greaterThan">
      <formula>1.15</formula>
    </cfRule>
  </conditionalFormatting>
  <conditionalFormatting sqref="AW18:AW27">
    <cfRule type="cellIs" dxfId="29" priority="26" operator="between">
      <formula>0.9</formula>
      <formula>0.9499</formula>
    </cfRule>
    <cfRule type="cellIs" dxfId="28" priority="27" operator="lessThan">
      <formula>0.9</formula>
    </cfRule>
    <cfRule type="cellIs" dxfId="27" priority="28" operator="greaterThan">
      <formula>0.94</formula>
    </cfRule>
  </conditionalFormatting>
  <conditionalFormatting sqref="AV18:AV27">
    <cfRule type="cellIs" dxfId="26" priority="22" operator="lessThan">
      <formula>0.95</formula>
    </cfRule>
    <cfRule type="cellIs" dxfId="25" priority="23" operator="between">
      <formula>0.95</formula>
      <formula>1.05</formula>
    </cfRule>
    <cfRule type="cellIs" dxfId="24" priority="24" operator="between">
      <formula>1.05</formula>
      <formula>11.5</formula>
    </cfRule>
    <cfRule type="cellIs" dxfId="23" priority="25" operator="greaterThan">
      <formula>1.15</formula>
    </cfRule>
  </conditionalFormatting>
  <conditionalFormatting sqref="AW4:AW13">
    <cfRule type="cellIs" dxfId="22" priority="19" operator="between">
      <formula>0.9</formula>
      <formula>0.9499</formula>
    </cfRule>
    <cfRule type="cellIs" dxfId="21" priority="20" operator="lessThan">
      <formula>0.9</formula>
    </cfRule>
    <cfRule type="cellIs" dxfId="20" priority="21" operator="greaterThan">
      <formula>0.94</formula>
    </cfRule>
  </conditionalFormatting>
  <conditionalFormatting sqref="AV4:AV13">
    <cfRule type="cellIs" dxfId="19" priority="15" operator="lessThan">
      <formula>0.95</formula>
    </cfRule>
    <cfRule type="cellIs" dxfId="18" priority="16" operator="between">
      <formula>0.95</formula>
      <formula>1.05</formula>
    </cfRule>
    <cfRule type="cellIs" dxfId="17" priority="17" operator="between">
      <formula>1.05</formula>
      <formula>1.15</formula>
    </cfRule>
    <cfRule type="cellIs" dxfId="16" priority="18" operator="greaterThan">
      <formula>1.15</formula>
    </cfRule>
  </conditionalFormatting>
  <conditionalFormatting sqref="BF18:BF27">
    <cfRule type="cellIs" dxfId="15" priority="12" operator="between">
      <formula>0.9</formula>
      <formula>0.9499</formula>
    </cfRule>
    <cfRule type="cellIs" dxfId="14" priority="13" operator="lessThan">
      <formula>0.9</formula>
    </cfRule>
    <cfRule type="cellIs" dxfId="13" priority="14" operator="greaterThan">
      <formula>0.94</formula>
    </cfRule>
  </conditionalFormatting>
  <conditionalFormatting sqref="BE18:BE27">
    <cfRule type="cellIs" dxfId="12" priority="8" operator="lessThan">
      <formula>0.95</formula>
    </cfRule>
    <cfRule type="cellIs" dxfId="11" priority="9" operator="between">
      <formula>0.95</formula>
      <formula>1.05</formula>
    </cfRule>
    <cfRule type="cellIs" dxfId="10" priority="10" operator="between">
      <formula>1.05</formula>
      <formula>11.5</formula>
    </cfRule>
    <cfRule type="cellIs" dxfId="9" priority="11" operator="greaterThan">
      <formula>1.15</formula>
    </cfRule>
  </conditionalFormatting>
  <conditionalFormatting sqref="BF4:BF13">
    <cfRule type="cellIs" dxfId="8" priority="5" operator="between">
      <formula>0.9</formula>
      <formula>0.9499</formula>
    </cfRule>
    <cfRule type="cellIs" dxfId="7" priority="6" operator="lessThan">
      <formula>0.9</formula>
    </cfRule>
    <cfRule type="cellIs" dxfId="6" priority="7" operator="greaterThan">
      <formula>0.94</formula>
    </cfRule>
  </conditionalFormatting>
  <conditionalFormatting sqref="BE4:BE13">
    <cfRule type="cellIs" dxfId="5" priority="1" operator="lessThan">
      <formula>0.95</formula>
    </cfRule>
    <cfRule type="cellIs" dxfId="4" priority="2" operator="between">
      <formula>0.95</formula>
      <formula>1.05</formula>
    </cfRule>
    <cfRule type="cellIs" dxfId="3" priority="3" operator="between">
      <formula>1.05</formula>
      <formula>1.15</formula>
    </cfRule>
    <cfRule type="cellIs" dxfId="2" priority="4" operator="greaterThan">
      <formula>1.15</formula>
    </cfRule>
  </conditionalFormatting>
  <pageMargins left="0.7" right="0.7" top="0.75" bottom="0.75" header="0.3" footer="0.3"/>
  <ignoredErrors>
    <ignoredError sqref="Z28" unlocked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327F3-AE7C-4B27-8272-72C9E890F3A1}">
  <sheetPr codeName="Sheet2">
    <tabColor rgb="FFFFFF00"/>
  </sheetPr>
  <dimension ref="A1:W39"/>
  <sheetViews>
    <sheetView zoomScaleNormal="100" workbookViewId="0">
      <selection activeCell="H3" sqref="H3:H9"/>
    </sheetView>
  </sheetViews>
  <sheetFormatPr defaultRowHeight="14.5" x14ac:dyDescent="0.35"/>
  <cols>
    <col min="2" max="2" width="20" bestFit="1" customWidth="1"/>
    <col min="3" max="3" width="10.90625" bestFit="1" customWidth="1"/>
    <col min="5" max="5" width="22.08984375" customWidth="1"/>
    <col min="7" max="7" width="3.453125" customWidth="1"/>
    <col min="8" max="8" width="21" customWidth="1"/>
    <col min="11" max="11" width="22.453125" customWidth="1"/>
    <col min="13" max="13" width="4.08984375" customWidth="1"/>
    <col min="14" max="14" width="22" customWidth="1"/>
    <col min="16" max="16" width="4" customWidth="1"/>
    <col min="17" max="17" width="22.90625" customWidth="1"/>
  </cols>
  <sheetData>
    <row r="1" spans="1:23" ht="15" thickBot="1" x14ac:dyDescent="0.4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</row>
    <row r="2" spans="1:23" ht="15" thickTop="1" x14ac:dyDescent="0.35">
      <c r="A2" s="80"/>
      <c r="B2" s="51" t="s">
        <v>13</v>
      </c>
      <c r="C2" s="52" t="s">
        <v>14</v>
      </c>
      <c r="D2" s="80"/>
      <c r="E2" s="99" t="s">
        <v>35</v>
      </c>
      <c r="F2" s="53" t="s">
        <v>15</v>
      </c>
      <c r="G2" s="80"/>
      <c r="H2" s="100" t="s">
        <v>36</v>
      </c>
      <c r="I2" s="54" t="s">
        <v>15</v>
      </c>
      <c r="J2" s="80"/>
      <c r="K2" s="99" t="s">
        <v>35</v>
      </c>
      <c r="L2" s="53" t="s">
        <v>15</v>
      </c>
      <c r="M2" s="80"/>
      <c r="N2" s="100" t="s">
        <v>36</v>
      </c>
      <c r="O2" s="54" t="s">
        <v>15</v>
      </c>
      <c r="P2" s="80"/>
      <c r="Q2" s="101" t="s">
        <v>37</v>
      </c>
      <c r="R2" s="64" t="s">
        <v>15</v>
      </c>
      <c r="S2" s="80"/>
      <c r="T2" s="80"/>
      <c r="U2" s="80"/>
      <c r="V2" s="80"/>
      <c r="W2" s="80"/>
    </row>
    <row r="3" spans="1:23" x14ac:dyDescent="0.35">
      <c r="A3" s="80"/>
      <c r="B3" s="81" t="str">
        <f>IF(ISBLANK(Roster!A2),"",Roster!A2)</f>
        <v>Alicia Martinez Romero</v>
      </c>
      <c r="C3" s="114">
        <f>IF(ISBLANK('Week 1'!I2),"",'Week 1'!I2+'Week 2'!I2+'Week 3'!I2+'Week 4'!I2+'Week 5'!I2)</f>
        <v>6</v>
      </c>
      <c r="D3" s="80"/>
      <c r="E3" s="97" t="s">
        <v>71</v>
      </c>
      <c r="F3" s="83">
        <f>IFERROR(_xlfn.XLOOKUP(E3,$B:$B,$C:$C),"")</f>
        <v>5</v>
      </c>
      <c r="G3" s="80"/>
      <c r="H3" s="97" t="s">
        <v>74</v>
      </c>
      <c r="I3" s="83">
        <f>IFERROR(_xlfn.XLOOKUP(H3,$B:$B,$C:$C),"")</f>
        <v>6</v>
      </c>
      <c r="J3" s="80"/>
      <c r="K3" s="110"/>
      <c r="L3" s="83">
        <f>IFERROR(_xlfn.XLOOKUP(K3,$B:$B,$C:$C),"")</f>
        <v>0</v>
      </c>
      <c r="M3" s="80"/>
      <c r="N3" s="110"/>
      <c r="O3" s="83">
        <f>IFERROR(_xlfn.XLOOKUP(N3,$B:$B,$C:$C),"")</f>
        <v>0</v>
      </c>
      <c r="P3" s="80"/>
      <c r="Q3" s="110"/>
      <c r="R3" s="83">
        <f>IFERROR(_xlfn.XLOOKUP(Q3,$B:$B,$C:$C),"")</f>
        <v>0</v>
      </c>
      <c r="S3" s="80"/>
      <c r="T3" s="80"/>
      <c r="U3" s="80"/>
      <c r="V3" s="80"/>
      <c r="W3" s="80"/>
    </row>
    <row r="4" spans="1:23" x14ac:dyDescent="0.35">
      <c r="A4" s="80"/>
      <c r="B4" s="81" t="str">
        <f>IF(ISBLANK(Roster!A3),"",Roster!A3)</f>
        <v>Beatriz Alvarado</v>
      </c>
      <c r="C4" s="114">
        <f>IF(ISBLANK('Week 1'!I3),"",'Week 1'!I3+'Week 2'!I3+'Week 3'!I3+'Week 4'!I3+'Week 5'!I3)</f>
        <v>6</v>
      </c>
      <c r="D4" s="80"/>
      <c r="E4" s="97" t="s">
        <v>69</v>
      </c>
      <c r="F4" s="83">
        <f t="shared" ref="F4:F23" si="0">IFERROR(_xlfn.XLOOKUP(E4,$B:$B,$C:$C),"")</f>
        <v>6</v>
      </c>
      <c r="G4" s="80"/>
      <c r="H4" s="97" t="s">
        <v>76</v>
      </c>
      <c r="I4" s="83">
        <f t="shared" ref="I4:I23" si="1">IFERROR(_xlfn.XLOOKUP(H4,$B:$B,$C:$C),"")</f>
        <v>6</v>
      </c>
      <c r="J4" s="80"/>
      <c r="K4" s="110"/>
      <c r="L4" s="83">
        <f t="shared" ref="L4:L8" si="2">IFERROR(_xlfn.XLOOKUP(K4,$B:$B,$C:$C),"")</f>
        <v>0</v>
      </c>
      <c r="M4" s="80"/>
      <c r="N4" s="110"/>
      <c r="O4" s="83">
        <f t="shared" ref="O4:O8" si="3">IFERROR(_xlfn.XLOOKUP(N4,$B:$B,$C:$C),"")</f>
        <v>0</v>
      </c>
      <c r="P4" s="80"/>
      <c r="Q4" s="110"/>
      <c r="R4" s="83">
        <f t="shared" ref="R4:R8" si="4">IFERROR(_xlfn.XLOOKUP(Q4,$B:$B,$C:$C),"")</f>
        <v>0</v>
      </c>
      <c r="S4" s="80"/>
      <c r="T4" s="80"/>
      <c r="U4" s="80"/>
      <c r="V4" s="80"/>
      <c r="W4" s="80"/>
    </row>
    <row r="5" spans="1:23" x14ac:dyDescent="0.35">
      <c r="A5" s="80"/>
      <c r="B5" s="81" t="str">
        <f>IF(ISBLANK(Roster!A4),"",Roster!A4)</f>
        <v>Rachel Garcia</v>
      </c>
      <c r="C5" s="114">
        <f>IF(ISBLANK('Week 1'!I4),"",'Week 1'!I4+'Week 2'!I4+'Week 3'!I4+'Week 4'!I4+'Week 5'!I4)</f>
        <v>5</v>
      </c>
      <c r="D5" s="80"/>
      <c r="E5" s="97" t="s">
        <v>81</v>
      </c>
      <c r="F5" s="83">
        <f t="shared" si="0"/>
        <v>7</v>
      </c>
      <c r="G5" s="80"/>
      <c r="H5" s="97" t="s">
        <v>70</v>
      </c>
      <c r="I5" s="83">
        <f t="shared" si="1"/>
        <v>6</v>
      </c>
      <c r="J5" s="80"/>
      <c r="K5" s="110"/>
      <c r="L5" s="83">
        <f t="shared" si="2"/>
        <v>0</v>
      </c>
      <c r="M5" s="80"/>
      <c r="N5" s="110"/>
      <c r="O5" s="83">
        <f t="shared" si="3"/>
        <v>0</v>
      </c>
      <c r="P5" s="80"/>
      <c r="Q5" s="110"/>
      <c r="R5" s="83">
        <f t="shared" si="4"/>
        <v>0</v>
      </c>
      <c r="S5" s="80"/>
      <c r="T5" s="80"/>
      <c r="U5" s="80"/>
      <c r="V5" s="80"/>
      <c r="W5" s="80"/>
    </row>
    <row r="6" spans="1:23" x14ac:dyDescent="0.35">
      <c r="A6" s="80"/>
      <c r="B6" s="81" t="str">
        <f>IF(ISBLANK(Roster!A5),"",Roster!A5)</f>
        <v>Samantha Walker</v>
      </c>
      <c r="C6" s="114">
        <f>IF(ISBLANK('Week 1'!I5),"",'Week 1'!I5+'Week 2'!I5+'Week 3'!I5+'Week 4'!I5+'Week 5'!I5)</f>
        <v>6</v>
      </c>
      <c r="D6" s="80"/>
      <c r="E6" s="97" t="s">
        <v>72</v>
      </c>
      <c r="F6" s="83">
        <f t="shared" si="0"/>
        <v>6</v>
      </c>
      <c r="G6" s="80"/>
      <c r="H6" s="97" t="s">
        <v>77</v>
      </c>
      <c r="I6" s="83">
        <f t="shared" si="1"/>
        <v>5</v>
      </c>
      <c r="J6" s="80"/>
      <c r="K6" s="110"/>
      <c r="L6" s="83">
        <f t="shared" si="2"/>
        <v>0</v>
      </c>
      <c r="M6" s="80"/>
      <c r="N6" s="110"/>
      <c r="O6" s="83">
        <f t="shared" si="3"/>
        <v>0</v>
      </c>
      <c r="P6" s="80"/>
      <c r="Q6" s="110"/>
      <c r="R6" s="83">
        <f t="shared" si="4"/>
        <v>0</v>
      </c>
      <c r="S6" s="80"/>
      <c r="T6" s="80"/>
      <c r="U6" s="80"/>
      <c r="V6" s="80"/>
      <c r="W6" s="80"/>
    </row>
    <row r="7" spans="1:23" x14ac:dyDescent="0.35">
      <c r="A7" s="80"/>
      <c r="B7" s="81" t="str">
        <f>IF(ISBLANK(Roster!A6),"",Roster!A6)</f>
        <v>Lauren Morgan</v>
      </c>
      <c r="C7" s="114">
        <f>IF(ISBLANK('Week 1'!I6),"",'Week 1'!I6+'Week 2'!I6+'Week 3'!I6+'Week 4'!I6+'Week 5'!I6)</f>
        <v>6</v>
      </c>
      <c r="D7" s="80"/>
      <c r="E7" s="97" t="s">
        <v>73</v>
      </c>
      <c r="F7" s="83">
        <f t="shared" si="0"/>
        <v>6</v>
      </c>
      <c r="G7" s="80"/>
      <c r="H7" s="97" t="s">
        <v>78</v>
      </c>
      <c r="I7" s="83">
        <f t="shared" si="1"/>
        <v>6</v>
      </c>
      <c r="J7" s="80"/>
      <c r="K7" s="110"/>
      <c r="L7" s="83">
        <f t="shared" si="2"/>
        <v>0</v>
      </c>
      <c r="M7" s="80"/>
      <c r="N7" s="110"/>
      <c r="O7" s="83">
        <f t="shared" si="3"/>
        <v>0</v>
      </c>
      <c r="P7" s="80"/>
      <c r="Q7" s="110"/>
      <c r="R7" s="83">
        <f t="shared" si="4"/>
        <v>0</v>
      </c>
      <c r="S7" s="80"/>
      <c r="T7" s="80"/>
      <c r="U7" s="80"/>
      <c r="V7" s="80"/>
      <c r="W7" s="80"/>
    </row>
    <row r="8" spans="1:23" x14ac:dyDescent="0.35">
      <c r="A8" s="80"/>
      <c r="B8" s="81" t="str">
        <f>IF(ISBLANK(Roster!A7),"",Roster!A7)</f>
        <v>Yazli Yerena</v>
      </c>
      <c r="C8" s="114">
        <f>IF(ISBLANK('Week 1'!I7),"",'Week 1'!I7+'Week 2'!I7+'Week 3'!I7+'Week 4'!I7+'Week 5'!I7)</f>
        <v>6</v>
      </c>
      <c r="D8" s="80"/>
      <c r="E8" s="97" t="s">
        <v>79</v>
      </c>
      <c r="F8" s="83">
        <f t="shared" si="0"/>
        <v>6</v>
      </c>
      <c r="G8" s="80"/>
      <c r="H8" s="97" t="s">
        <v>82</v>
      </c>
      <c r="I8" s="83">
        <f t="shared" si="1"/>
        <v>6</v>
      </c>
      <c r="J8" s="80"/>
      <c r="K8" s="110"/>
      <c r="L8" s="83">
        <f t="shared" si="2"/>
        <v>0</v>
      </c>
      <c r="M8" s="80"/>
      <c r="N8" s="97"/>
      <c r="O8" s="83">
        <f t="shared" si="3"/>
        <v>0</v>
      </c>
      <c r="P8" s="80"/>
      <c r="Q8" s="97"/>
      <c r="R8" s="83">
        <f t="shared" si="4"/>
        <v>0</v>
      </c>
      <c r="S8" s="80"/>
      <c r="T8" s="80"/>
      <c r="U8" s="80"/>
      <c r="V8" s="80"/>
      <c r="W8" s="80"/>
    </row>
    <row r="9" spans="1:23" ht="15" thickBot="1" x14ac:dyDescent="0.4">
      <c r="A9" s="80"/>
      <c r="B9" s="81" t="str">
        <f>IF(ISBLANK(Roster!A8),"",Roster!A8)</f>
        <v>Erin Underwood</v>
      </c>
      <c r="C9" s="114">
        <f>IF(ISBLANK('Week 1'!I8),"",'Week 1'!I8+'Week 2'!I8+'Week 3'!I8+'Week 4'!I8+'Week 5'!I8)</f>
        <v>6</v>
      </c>
      <c r="D9" s="80"/>
      <c r="E9" s="97" t="s">
        <v>80</v>
      </c>
      <c r="F9" s="83">
        <f t="shared" si="0"/>
        <v>6</v>
      </c>
      <c r="G9" s="80"/>
      <c r="H9" s="97" t="s">
        <v>75</v>
      </c>
      <c r="I9" s="83">
        <f t="shared" si="1"/>
        <v>6</v>
      </c>
      <c r="J9" s="80"/>
      <c r="K9" s="62" t="s">
        <v>29</v>
      </c>
      <c r="L9" s="84">
        <f>SUM(L3:L8)</f>
        <v>0</v>
      </c>
      <c r="M9" s="80"/>
      <c r="N9" s="63" t="s">
        <v>29</v>
      </c>
      <c r="O9" s="85">
        <f>SUM(O3:O8)</f>
        <v>0</v>
      </c>
      <c r="P9" s="80"/>
      <c r="Q9" s="66" t="s">
        <v>29</v>
      </c>
      <c r="R9" s="90">
        <f>SUM(R3:R8)</f>
        <v>0</v>
      </c>
      <c r="S9" s="80"/>
      <c r="T9" s="80"/>
      <c r="U9" s="80"/>
      <c r="V9" s="80"/>
      <c r="W9" s="80"/>
    </row>
    <row r="10" spans="1:23" ht="15.5" thickTop="1" thickBot="1" x14ac:dyDescent="0.4">
      <c r="A10" s="80"/>
      <c r="B10" s="81" t="str">
        <f>IF(ISBLANK(Roster!A9),"",Roster!A9)</f>
        <v>Yvonne Barbee</v>
      </c>
      <c r="C10" s="114">
        <f>IF(ISBLANK('Week 1'!I9),"",'Week 1'!I9+'Week 2'!I9+'Week 3'!I9+'Week 4'!I9+'Week 5'!I9)</f>
        <v>6</v>
      </c>
      <c r="D10" s="80"/>
      <c r="E10" s="97"/>
      <c r="F10" s="83">
        <f t="shared" si="0"/>
        <v>0</v>
      </c>
      <c r="G10" s="80"/>
      <c r="H10" s="97"/>
      <c r="I10" s="83">
        <f t="shared" si="1"/>
        <v>0</v>
      </c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</row>
    <row r="11" spans="1:23" ht="15" thickTop="1" x14ac:dyDescent="0.35">
      <c r="A11" s="80"/>
      <c r="B11" s="81" t="str">
        <f>IF(ISBLANK(Roster!A10),"",Roster!A10)</f>
        <v>Heather Cash</v>
      </c>
      <c r="C11" s="114">
        <f>IF(ISBLANK('Week 1'!I10),"",'Week 1'!I10+'Week 2'!I10+'Week 3'!I10+'Week 4'!I10+'Week 5'!I10)</f>
        <v>5</v>
      </c>
      <c r="D11" s="80"/>
      <c r="E11" s="97"/>
      <c r="F11" s="83">
        <f t="shared" si="0"/>
        <v>0</v>
      </c>
      <c r="G11" s="80"/>
      <c r="H11" s="97"/>
      <c r="I11" s="83">
        <f t="shared" si="1"/>
        <v>0</v>
      </c>
      <c r="J11" s="80"/>
      <c r="K11" s="102" t="s">
        <v>38</v>
      </c>
      <c r="L11" s="65" t="s">
        <v>15</v>
      </c>
      <c r="M11" s="80"/>
      <c r="N11" s="103" t="s">
        <v>30</v>
      </c>
      <c r="O11" s="70" t="s">
        <v>15</v>
      </c>
      <c r="P11" s="80"/>
      <c r="Q11" s="104" t="s">
        <v>31</v>
      </c>
      <c r="R11" s="72" t="s">
        <v>15</v>
      </c>
      <c r="S11" s="80"/>
      <c r="T11" s="80"/>
      <c r="U11" s="80"/>
      <c r="V11" s="80"/>
      <c r="W11" s="80"/>
    </row>
    <row r="12" spans="1:23" x14ac:dyDescent="0.35">
      <c r="A12" s="80"/>
      <c r="B12" s="81" t="str">
        <f>IF(ISBLANK(Roster!A11),"",Roster!A11)</f>
        <v>Janice Winston</v>
      </c>
      <c r="C12" s="114">
        <f>IF(ISBLANK('Week 1'!I11),"",'Week 1'!I11+'Week 2'!I11+'Week 3'!I11+'Week 4'!I11+'Week 5'!I11)</f>
        <v>6</v>
      </c>
      <c r="D12" s="80"/>
      <c r="E12" s="97"/>
      <c r="F12" s="83">
        <f t="shared" si="0"/>
        <v>0</v>
      </c>
      <c r="G12" s="80"/>
      <c r="H12" s="97"/>
      <c r="I12" s="83">
        <f t="shared" si="1"/>
        <v>0</v>
      </c>
      <c r="J12" s="80"/>
      <c r="K12" s="110"/>
      <c r="L12" s="83">
        <f t="shared" ref="L12:L17" si="5">IFERROR(_xlfn.XLOOKUP(K12,$B:$B,$C:$C),"")</f>
        <v>0</v>
      </c>
      <c r="M12" s="80"/>
      <c r="N12" s="97"/>
      <c r="O12" s="83">
        <f t="shared" ref="O12:O17" si="6">IFERROR(_xlfn.XLOOKUP(N12,$B:$B,$C:$C),"")</f>
        <v>0</v>
      </c>
      <c r="P12" s="80"/>
      <c r="Q12" s="97"/>
      <c r="R12" s="83">
        <f t="shared" ref="R12:R17" si="7">IFERROR(_xlfn.XLOOKUP(Q12,$B:$B,$C:$C),"")</f>
        <v>0</v>
      </c>
      <c r="S12" s="80"/>
      <c r="T12" s="80"/>
      <c r="U12" s="80"/>
      <c r="V12" s="80"/>
      <c r="W12" s="80"/>
    </row>
    <row r="13" spans="1:23" x14ac:dyDescent="0.35">
      <c r="A13" s="80"/>
      <c r="B13" s="81" t="str">
        <f>IF(ISBLANK(Roster!A12),"",Roster!A12)</f>
        <v>Antavian Taylor</v>
      </c>
      <c r="C13" s="114">
        <f>IF(ISBLANK('Week 1'!I12),"",'Week 1'!I12+'Week 2'!I12+'Week 3'!I12+'Week 4'!I12+'Week 5'!I12)</f>
        <v>6</v>
      </c>
      <c r="D13" s="80"/>
      <c r="E13" s="97"/>
      <c r="F13" s="83">
        <f t="shared" si="0"/>
        <v>0</v>
      </c>
      <c r="G13" s="80"/>
      <c r="H13" s="97"/>
      <c r="I13" s="83">
        <f t="shared" si="1"/>
        <v>0</v>
      </c>
      <c r="J13" s="80"/>
      <c r="K13" s="110"/>
      <c r="L13" s="83">
        <f t="shared" si="5"/>
        <v>0</v>
      </c>
      <c r="M13" s="80"/>
      <c r="N13" s="97"/>
      <c r="O13" s="83">
        <f t="shared" si="6"/>
        <v>0</v>
      </c>
      <c r="P13" s="80"/>
      <c r="Q13" s="97"/>
      <c r="R13" s="83">
        <f t="shared" si="7"/>
        <v>0</v>
      </c>
      <c r="S13" s="80"/>
      <c r="T13" s="80"/>
      <c r="U13" s="80"/>
      <c r="V13" s="80"/>
      <c r="W13" s="80"/>
    </row>
    <row r="14" spans="1:23" x14ac:dyDescent="0.35">
      <c r="A14" s="80"/>
      <c r="B14" s="81" t="str">
        <f>IF(ISBLANK(Roster!A13),"",Roster!A13)</f>
        <v>Charlincia Montgomery</v>
      </c>
      <c r="C14" s="114">
        <f>IF(ISBLANK('Week 1'!I13),"",'Week 1'!I13+'Week 2'!I13+'Week 3'!I13+'Week 4'!I13+'Week 5'!I13)</f>
        <v>6</v>
      </c>
      <c r="D14" s="80"/>
      <c r="E14" s="97"/>
      <c r="F14" s="83">
        <f t="shared" si="0"/>
        <v>0</v>
      </c>
      <c r="G14" s="80"/>
      <c r="H14" s="97"/>
      <c r="I14" s="83">
        <f t="shared" si="1"/>
        <v>0</v>
      </c>
      <c r="J14" s="80"/>
      <c r="K14" s="110"/>
      <c r="L14" s="83">
        <f t="shared" si="5"/>
        <v>0</v>
      </c>
      <c r="M14" s="80"/>
      <c r="N14" s="97"/>
      <c r="O14" s="83">
        <f t="shared" si="6"/>
        <v>0</v>
      </c>
      <c r="P14" s="80"/>
      <c r="Q14" s="97"/>
      <c r="R14" s="83">
        <f t="shared" si="7"/>
        <v>0</v>
      </c>
      <c r="S14" s="80"/>
      <c r="T14" s="80"/>
      <c r="U14" s="80"/>
      <c r="V14" s="80"/>
      <c r="W14" s="80"/>
    </row>
    <row r="15" spans="1:23" x14ac:dyDescent="0.35">
      <c r="A15" s="80"/>
      <c r="B15" s="81" t="str">
        <f>IF(ISBLANK(Roster!A14),"",Roster!A14)</f>
        <v>Kiarra Grandison</v>
      </c>
      <c r="C15" s="114">
        <f>IF(ISBLANK('Week 1'!I14),"",'Week 1'!I14+'Week 2'!I14+'Week 3'!I14+'Week 4'!I14+'Week 5'!I14)</f>
        <v>7</v>
      </c>
      <c r="D15" s="80"/>
      <c r="E15" s="97"/>
      <c r="F15" s="83">
        <f t="shared" si="0"/>
        <v>0</v>
      </c>
      <c r="G15" s="80"/>
      <c r="H15" s="97"/>
      <c r="I15" s="83">
        <f t="shared" si="1"/>
        <v>0</v>
      </c>
      <c r="J15" s="80"/>
      <c r="K15" s="110"/>
      <c r="L15" s="83">
        <f t="shared" si="5"/>
        <v>0</v>
      </c>
      <c r="M15" s="80"/>
      <c r="N15" s="97"/>
      <c r="O15" s="83">
        <f t="shared" si="6"/>
        <v>0</v>
      </c>
      <c r="P15" s="80"/>
      <c r="Q15" s="97"/>
      <c r="R15" s="83">
        <f t="shared" si="7"/>
        <v>0</v>
      </c>
      <c r="S15" s="80"/>
      <c r="T15" s="80"/>
      <c r="U15" s="80"/>
      <c r="V15" s="80"/>
      <c r="W15" s="80"/>
    </row>
    <row r="16" spans="1:23" x14ac:dyDescent="0.35">
      <c r="A16" s="80"/>
      <c r="B16" s="81" t="str">
        <f>IF(ISBLANK(Roster!A15),"",Roster!A15)</f>
        <v>Keysanah Baldwin</v>
      </c>
      <c r="C16" s="114">
        <f>IF(ISBLANK('Week 1'!I15),"",'Week 1'!I15+'Week 2'!I15+'Week 3'!I15+'Week 4'!I15+'Week 5'!I15)</f>
        <v>6</v>
      </c>
      <c r="D16" s="80"/>
      <c r="E16" s="97"/>
      <c r="F16" s="83">
        <f t="shared" si="0"/>
        <v>0</v>
      </c>
      <c r="G16" s="80"/>
      <c r="H16" s="97"/>
      <c r="I16" s="83">
        <f t="shared" si="1"/>
        <v>0</v>
      </c>
      <c r="J16" s="80"/>
      <c r="K16" s="110"/>
      <c r="L16" s="83">
        <f t="shared" si="5"/>
        <v>0</v>
      </c>
      <c r="M16" s="80"/>
      <c r="N16" s="97"/>
      <c r="O16" s="83">
        <f t="shared" si="6"/>
        <v>0</v>
      </c>
      <c r="P16" s="80"/>
      <c r="Q16" s="97"/>
      <c r="R16" s="83">
        <f t="shared" si="7"/>
        <v>0</v>
      </c>
      <c r="S16" s="80"/>
      <c r="T16" s="80"/>
      <c r="U16" s="80"/>
      <c r="V16" s="80"/>
      <c r="W16" s="80"/>
    </row>
    <row r="17" spans="1:23" x14ac:dyDescent="0.35">
      <c r="A17" s="80"/>
      <c r="B17" s="81" t="str">
        <f>IF(ISBLANK(Roster!A16),"",Roster!A16)</f>
        <v/>
      </c>
      <c r="C17" s="114">
        <f>IF(ISBLANK('Week 1'!I16),"",'Week 1'!I16+'Week 2'!I16+'Week 3'!I16+'Week 4'!I16+'Week 5'!I16)</f>
        <v>0</v>
      </c>
      <c r="D17" s="80"/>
      <c r="E17" s="97"/>
      <c r="F17" s="83">
        <f t="shared" si="0"/>
        <v>0</v>
      </c>
      <c r="G17" s="80"/>
      <c r="H17" s="97"/>
      <c r="I17" s="83">
        <f t="shared" si="1"/>
        <v>0</v>
      </c>
      <c r="J17" s="80"/>
      <c r="K17" s="97"/>
      <c r="L17" s="83">
        <f t="shared" si="5"/>
        <v>0</v>
      </c>
      <c r="M17" s="80"/>
      <c r="N17" s="97"/>
      <c r="O17" s="83">
        <f t="shared" si="6"/>
        <v>0</v>
      </c>
      <c r="P17" s="80"/>
      <c r="Q17" s="97"/>
      <c r="R17" s="83">
        <f t="shared" si="7"/>
        <v>0</v>
      </c>
      <c r="S17" s="80"/>
      <c r="T17" s="80"/>
      <c r="U17" s="80"/>
      <c r="V17" s="80"/>
      <c r="W17" s="80"/>
    </row>
    <row r="18" spans="1:23" ht="15" thickBot="1" x14ac:dyDescent="0.4">
      <c r="A18" s="80"/>
      <c r="B18" s="81" t="str">
        <f>IF(ISBLANK(Roster!A17),"",Roster!A17)</f>
        <v/>
      </c>
      <c r="C18" s="114">
        <f>IF(ISBLANK('Week 1'!I17),"",'Week 1'!I17+'Week 2'!I17+'Week 3'!I17+'Week 4'!I17+'Week 5'!I17)</f>
        <v>0</v>
      </c>
      <c r="D18" s="80"/>
      <c r="E18" s="97"/>
      <c r="F18" s="83">
        <f t="shared" si="0"/>
        <v>0</v>
      </c>
      <c r="G18" s="80"/>
      <c r="H18" s="97"/>
      <c r="I18" s="83">
        <f t="shared" si="1"/>
        <v>0</v>
      </c>
      <c r="J18" s="80"/>
      <c r="K18" s="67" t="s">
        <v>29</v>
      </c>
      <c r="L18" s="86">
        <f>SUM(L12:L17)</f>
        <v>0</v>
      </c>
      <c r="M18" s="80"/>
      <c r="N18" s="71" t="s">
        <v>29</v>
      </c>
      <c r="O18" s="88">
        <f>SUM(O12:O17)</f>
        <v>0</v>
      </c>
      <c r="P18" s="80"/>
      <c r="Q18" s="73" t="s">
        <v>29</v>
      </c>
      <c r="R18" s="91">
        <f>SUM(R12:R17)</f>
        <v>0</v>
      </c>
      <c r="S18" s="80"/>
      <c r="T18" s="80"/>
      <c r="U18" s="80"/>
      <c r="V18" s="80"/>
      <c r="W18" s="80"/>
    </row>
    <row r="19" spans="1:23" ht="15.5" thickTop="1" thickBot="1" x14ac:dyDescent="0.4">
      <c r="A19" s="80"/>
      <c r="B19" s="81" t="str">
        <f>IF(ISBLANK(Roster!A18),"",Roster!A18)</f>
        <v/>
      </c>
      <c r="C19" s="114">
        <f>IF(ISBLANK('Week 1'!I18),"",'Week 1'!I18+'Week 2'!I18+'Week 3'!I18+'Week 4'!I18+'Week 5'!I18)</f>
        <v>0</v>
      </c>
      <c r="D19" s="80"/>
      <c r="E19" s="97"/>
      <c r="F19" s="83">
        <f t="shared" si="0"/>
        <v>0</v>
      </c>
      <c r="G19" s="80"/>
      <c r="H19" s="97"/>
      <c r="I19" s="83">
        <f t="shared" si="1"/>
        <v>0</v>
      </c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</row>
    <row r="20" spans="1:23" ht="15" thickTop="1" x14ac:dyDescent="0.35">
      <c r="A20" s="80"/>
      <c r="B20" s="81" t="str">
        <f>IF(ISBLANK(Roster!A19),"",Roster!A19)</f>
        <v/>
      </c>
      <c r="C20" s="114">
        <f>IF(ISBLANK('Week 1'!I19),"",'Week 1'!I19+'Week 2'!I19+'Week 3'!I19+'Week 4'!I19+'Week 5'!I19)</f>
        <v>0</v>
      </c>
      <c r="D20" s="80"/>
      <c r="E20" s="97"/>
      <c r="F20" s="83">
        <f t="shared" si="0"/>
        <v>0</v>
      </c>
      <c r="G20" s="80"/>
      <c r="H20" s="97"/>
      <c r="I20" s="83">
        <f t="shared" si="1"/>
        <v>0</v>
      </c>
      <c r="J20" s="80"/>
      <c r="K20" s="105" t="s">
        <v>32</v>
      </c>
      <c r="L20" s="74" t="s">
        <v>15</v>
      </c>
      <c r="M20" s="80"/>
      <c r="N20" s="106" t="s">
        <v>33</v>
      </c>
      <c r="O20" s="76" t="s">
        <v>15</v>
      </c>
      <c r="P20" s="80"/>
      <c r="Q20" s="107" t="s">
        <v>34</v>
      </c>
      <c r="R20" s="78" t="s">
        <v>15</v>
      </c>
      <c r="S20" s="80"/>
      <c r="T20" s="80"/>
      <c r="U20" s="80"/>
      <c r="V20" s="80"/>
      <c r="W20" s="80"/>
    </row>
    <row r="21" spans="1:23" x14ac:dyDescent="0.35">
      <c r="A21" s="80"/>
      <c r="B21" s="81" t="str">
        <f>IF(ISBLANK(Roster!A20),"",Roster!A20)</f>
        <v/>
      </c>
      <c r="C21" s="114">
        <f>IF(ISBLANK('Week 1'!I20),"",'Week 1'!I20+'Week 2'!I20+'Week 3'!I20+'Week 4'!I20+'Week 5'!I20)</f>
        <v>0</v>
      </c>
      <c r="D21" s="80"/>
      <c r="E21" s="97"/>
      <c r="F21" s="83">
        <f t="shared" si="0"/>
        <v>0</v>
      </c>
      <c r="G21" s="80"/>
      <c r="H21" s="97"/>
      <c r="I21" s="83">
        <f t="shared" si="1"/>
        <v>0</v>
      </c>
      <c r="J21" s="80"/>
      <c r="K21" s="97"/>
      <c r="L21" s="83">
        <f t="shared" ref="L21:L26" si="8">IFERROR(_xlfn.XLOOKUP(K21,$B:$B,$C:$C),"")</f>
        <v>0</v>
      </c>
      <c r="M21" s="80"/>
      <c r="N21" s="97"/>
      <c r="O21" s="83">
        <f t="shared" ref="O21:O26" si="9">IFERROR(_xlfn.XLOOKUP(N21,$B:$B,$C:$C),"")</f>
        <v>0</v>
      </c>
      <c r="P21" s="80"/>
      <c r="Q21" s="97"/>
      <c r="R21" s="83">
        <f t="shared" ref="R21:R26" si="10">IFERROR(_xlfn.XLOOKUP(Q21,$B:$B,$C:$C),"")</f>
        <v>0</v>
      </c>
      <c r="S21" s="80"/>
      <c r="T21" s="80"/>
      <c r="U21" s="80"/>
      <c r="V21" s="80"/>
      <c r="W21" s="80"/>
    </row>
    <row r="22" spans="1:23" x14ac:dyDescent="0.35">
      <c r="A22" s="80"/>
      <c r="B22" s="81" t="str">
        <f>IF(ISBLANK(Roster!A21),"",Roster!A21)</f>
        <v/>
      </c>
      <c r="C22" s="114">
        <f>IF(ISBLANK('Week 1'!I21),"",'Week 1'!I21+'Week 2'!I21+'Week 3'!I21+'Week 4'!I21+'Week 5'!I21)</f>
        <v>0</v>
      </c>
      <c r="D22" s="80"/>
      <c r="E22" s="97"/>
      <c r="F22" s="83">
        <f t="shared" si="0"/>
        <v>0</v>
      </c>
      <c r="G22" s="80"/>
      <c r="H22" s="97"/>
      <c r="I22" s="83">
        <f t="shared" si="1"/>
        <v>0</v>
      </c>
      <c r="J22" s="80"/>
      <c r="K22" s="97"/>
      <c r="L22" s="83">
        <f t="shared" si="8"/>
        <v>0</v>
      </c>
      <c r="M22" s="80"/>
      <c r="N22" s="97"/>
      <c r="O22" s="83">
        <f t="shared" si="9"/>
        <v>0</v>
      </c>
      <c r="P22" s="80"/>
      <c r="Q22" s="97"/>
      <c r="R22" s="83">
        <f t="shared" si="10"/>
        <v>0</v>
      </c>
      <c r="S22" s="80"/>
      <c r="T22" s="80"/>
      <c r="U22" s="80"/>
      <c r="V22" s="80"/>
      <c r="W22" s="80"/>
    </row>
    <row r="23" spans="1:23" ht="15" thickBot="1" x14ac:dyDescent="0.4">
      <c r="A23" s="80"/>
      <c r="B23" s="82" t="str">
        <f>IF(ISBLANK(Roster!A22),"",Roster!A22)</f>
        <v/>
      </c>
      <c r="C23" s="156">
        <f>IF(ISBLANK('Week 1'!I22),"",'Week 1'!I22+'Week 2'!I22+'Week 3'!I22+'Week 4'!I22+'Week 5'!I22)</f>
        <v>0</v>
      </c>
      <c r="D23" s="80"/>
      <c r="E23" s="97"/>
      <c r="F23" s="83">
        <f t="shared" si="0"/>
        <v>0</v>
      </c>
      <c r="G23" s="80"/>
      <c r="H23" s="97"/>
      <c r="I23" s="83">
        <f t="shared" si="1"/>
        <v>0</v>
      </c>
      <c r="J23" s="80"/>
      <c r="K23" s="97"/>
      <c r="L23" s="83">
        <f t="shared" si="8"/>
        <v>0</v>
      </c>
      <c r="M23" s="80"/>
      <c r="N23" s="97"/>
      <c r="O23" s="83">
        <f t="shared" si="9"/>
        <v>0</v>
      </c>
      <c r="P23" s="80"/>
      <c r="Q23" s="97"/>
      <c r="R23" s="83">
        <f t="shared" si="10"/>
        <v>0</v>
      </c>
      <c r="S23" s="80"/>
      <c r="T23" s="80"/>
      <c r="U23" s="80"/>
      <c r="V23" s="80"/>
      <c r="W23" s="80"/>
    </row>
    <row r="24" spans="1:23" ht="15.5" thickTop="1" thickBot="1" x14ac:dyDescent="0.4">
      <c r="A24" s="80"/>
      <c r="B24" s="80"/>
      <c r="C24" s="80"/>
      <c r="D24" s="80"/>
      <c r="E24" s="62" t="s">
        <v>29</v>
      </c>
      <c r="F24" s="84">
        <f>SUM(F3:F23)</f>
        <v>42</v>
      </c>
      <c r="G24" s="80"/>
      <c r="H24" s="98" t="s">
        <v>29</v>
      </c>
      <c r="I24" s="85">
        <f>SUM(I3:I23)</f>
        <v>41</v>
      </c>
      <c r="J24" s="80"/>
      <c r="K24" s="97"/>
      <c r="L24" s="83">
        <f t="shared" si="8"/>
        <v>0</v>
      </c>
      <c r="M24" s="80"/>
      <c r="N24" s="97"/>
      <c r="O24" s="83">
        <f t="shared" si="9"/>
        <v>0</v>
      </c>
      <c r="P24" s="80"/>
      <c r="Q24" s="97"/>
      <c r="R24" s="83">
        <f t="shared" si="10"/>
        <v>0</v>
      </c>
      <c r="S24" s="80"/>
      <c r="T24" s="80"/>
      <c r="U24" s="80"/>
      <c r="V24" s="80"/>
      <c r="W24" s="80"/>
    </row>
    <row r="25" spans="1:23" ht="15.5" thickTop="1" thickBot="1" x14ac:dyDescent="0.4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97"/>
      <c r="L25" s="83">
        <f t="shared" si="8"/>
        <v>0</v>
      </c>
      <c r="M25" s="80"/>
      <c r="N25" s="97"/>
      <c r="O25" s="83">
        <f t="shared" si="9"/>
        <v>0</v>
      </c>
      <c r="P25" s="80"/>
      <c r="Q25" s="97"/>
      <c r="R25" s="83">
        <f t="shared" si="10"/>
        <v>0</v>
      </c>
      <c r="S25" s="80"/>
      <c r="T25" s="80"/>
      <c r="U25" s="80"/>
      <c r="V25" s="80"/>
      <c r="W25" s="80"/>
    </row>
    <row r="26" spans="1:23" ht="15" thickTop="1" x14ac:dyDescent="0.35">
      <c r="A26" s="80"/>
      <c r="B26" s="57" t="s">
        <v>22</v>
      </c>
      <c r="C26" s="58"/>
      <c r="D26" s="80"/>
      <c r="E26" s="80"/>
      <c r="F26" s="80"/>
      <c r="G26" s="80"/>
      <c r="H26" s="80"/>
      <c r="I26" s="80"/>
      <c r="J26" s="80"/>
      <c r="K26" s="97"/>
      <c r="L26" s="83">
        <f t="shared" si="8"/>
        <v>0</v>
      </c>
      <c r="M26" s="80"/>
      <c r="N26" s="97"/>
      <c r="O26" s="83">
        <f t="shared" si="9"/>
        <v>0</v>
      </c>
      <c r="P26" s="80"/>
      <c r="Q26" s="97"/>
      <c r="R26" s="83">
        <f t="shared" si="10"/>
        <v>0</v>
      </c>
      <c r="S26" s="80"/>
      <c r="T26" s="80"/>
      <c r="U26" s="80"/>
      <c r="V26" s="80"/>
      <c r="W26" s="80"/>
    </row>
    <row r="27" spans="1:23" ht="15" thickBot="1" x14ac:dyDescent="0.4">
      <c r="A27" s="80"/>
      <c r="B27" s="59" t="s">
        <v>23</v>
      </c>
      <c r="C27" s="61" t="s">
        <v>15</v>
      </c>
      <c r="D27" s="80"/>
      <c r="E27" s="80"/>
      <c r="F27" s="80"/>
      <c r="G27" s="80"/>
      <c r="H27" s="80"/>
      <c r="I27" s="80"/>
      <c r="J27" s="80"/>
      <c r="K27" s="75" t="s">
        <v>29</v>
      </c>
      <c r="L27" s="87">
        <f>SUM(L21:L26)</f>
        <v>0</v>
      </c>
      <c r="M27" s="80"/>
      <c r="N27" s="77" t="s">
        <v>29</v>
      </c>
      <c r="O27" s="89">
        <f>SUM(O21:O26)</f>
        <v>0</v>
      </c>
      <c r="P27" s="80"/>
      <c r="Q27" s="79" t="s">
        <v>29</v>
      </c>
      <c r="R27" s="92">
        <f>SUM(R21:R26)</f>
        <v>0</v>
      </c>
      <c r="S27" s="80"/>
      <c r="T27" s="80"/>
      <c r="U27" s="80"/>
      <c r="V27" s="80"/>
      <c r="W27" s="80"/>
    </row>
    <row r="28" spans="1:23" ht="15" thickTop="1" x14ac:dyDescent="0.35">
      <c r="A28" s="80"/>
      <c r="B28" s="47" t="s">
        <v>39</v>
      </c>
      <c r="C28" s="48" t="s">
        <v>24</v>
      </c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</row>
    <row r="29" spans="1:23" x14ac:dyDescent="0.35">
      <c r="A29" s="80"/>
      <c r="B29" s="55" t="s">
        <v>43</v>
      </c>
      <c r="C29" s="56" t="s">
        <v>25</v>
      </c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</row>
    <row r="30" spans="1:23" ht="5.15" customHeight="1" x14ac:dyDescent="0.35">
      <c r="A30" s="80"/>
      <c r="B30" s="68"/>
      <c r="C30" s="69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</row>
    <row r="31" spans="1:23" x14ac:dyDescent="0.35">
      <c r="A31" s="80"/>
      <c r="B31" s="60" t="s">
        <v>11</v>
      </c>
      <c r="C31" s="61" t="s">
        <v>15</v>
      </c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</row>
    <row r="32" spans="1:23" x14ac:dyDescent="0.35">
      <c r="A32" s="80"/>
      <c r="B32" s="47" t="s">
        <v>40</v>
      </c>
      <c r="C32" s="48" t="s">
        <v>24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</row>
    <row r="33" spans="1:23" x14ac:dyDescent="0.35">
      <c r="A33" s="80"/>
      <c r="B33" s="47" t="s">
        <v>41</v>
      </c>
      <c r="C33" s="48" t="s">
        <v>25</v>
      </c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</row>
    <row r="34" spans="1:23" x14ac:dyDescent="0.35">
      <c r="A34" s="80"/>
      <c r="B34" s="55" t="s">
        <v>42</v>
      </c>
      <c r="C34" s="56" t="s">
        <v>26</v>
      </c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</row>
    <row r="35" spans="1:23" ht="5.15" customHeight="1" x14ac:dyDescent="0.35">
      <c r="A35" s="80"/>
      <c r="B35" s="68"/>
      <c r="C35" s="69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</row>
    <row r="36" spans="1:23" x14ac:dyDescent="0.35">
      <c r="A36" s="80"/>
      <c r="B36" s="60" t="s">
        <v>12</v>
      </c>
      <c r="C36" s="61" t="s">
        <v>15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</row>
    <row r="37" spans="1:23" x14ac:dyDescent="0.35">
      <c r="A37" s="80"/>
      <c r="B37" s="47" t="s">
        <v>27</v>
      </c>
      <c r="C37" s="48" t="s">
        <v>24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</row>
    <row r="38" spans="1:23" ht="15" thickBot="1" x14ac:dyDescent="0.4">
      <c r="A38" s="80"/>
      <c r="B38" s="49" t="s">
        <v>28</v>
      </c>
      <c r="C38" s="50" t="s">
        <v>25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</row>
    <row r="39" spans="1:23" ht="15" thickTop="1" x14ac:dyDescent="0.3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</row>
  </sheetData>
  <sheetProtection algorithmName="SHA-512" hashValue="8Urdky2gGQYfoJ1pfFSWULwX+zp0FXFl75nxaQ0ss1hBwHgB8bM6924CCD00CrMWWMOcbmyc5+JbydhDLL1IOA==" saltValue="toki2zDWox5NdKBg4fHCK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ClearTeams">
                <anchor moveWithCells="1" sizeWithCells="1">
                  <from>
                    <xdr:col>4</xdr:col>
                    <xdr:colOff>1219200</xdr:colOff>
                    <xdr:row>25</xdr:row>
                    <xdr:rowOff>31750</xdr:rowOff>
                  </from>
                  <to>
                    <xdr:col>7</xdr:col>
                    <xdr:colOff>222250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ClearAllTeams">
                <anchor moveWithCells="1" sizeWithCells="1">
                  <from>
                    <xdr:col>13</xdr:col>
                    <xdr:colOff>495300</xdr:colOff>
                    <xdr:row>28</xdr:row>
                    <xdr:rowOff>101600</xdr:rowOff>
                  </from>
                  <to>
                    <xdr:col>14</xdr:col>
                    <xdr:colOff>381000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DA1F5-CCBE-4218-98DC-75549146C67F}">
  <sheetPr codeName="Sheet3">
    <tabColor rgb="FFFF0000"/>
  </sheetPr>
  <dimension ref="A1:C299"/>
  <sheetViews>
    <sheetView workbookViewId="0">
      <selection activeCell="G10" sqref="G10"/>
    </sheetView>
  </sheetViews>
  <sheetFormatPr defaultRowHeight="15" customHeight="1" x14ac:dyDescent="0.35"/>
  <cols>
    <col min="1" max="1" width="19.90625" style="188" customWidth="1"/>
    <col min="2" max="2" width="15.90625" style="188" bestFit="1" customWidth="1"/>
    <col min="3" max="3" width="20.08984375" style="189" bestFit="1" customWidth="1"/>
  </cols>
  <sheetData>
    <row r="1" spans="1:3" ht="15" customHeight="1" x14ac:dyDescent="0.35">
      <c r="A1" s="184" t="s">
        <v>49</v>
      </c>
      <c r="B1" s="184" t="s">
        <v>0</v>
      </c>
      <c r="C1" s="185" t="s">
        <v>50</v>
      </c>
    </row>
    <row r="2" spans="1:3" ht="15" customHeight="1" x14ac:dyDescent="0.35">
      <c r="A2" s="186" t="s">
        <v>69</v>
      </c>
      <c r="B2" s="155" t="s">
        <v>83</v>
      </c>
      <c r="C2" s="187">
        <v>45088</v>
      </c>
    </row>
    <row r="3" spans="1:3" ht="15" customHeight="1" x14ac:dyDescent="0.35">
      <c r="A3" s="186" t="s">
        <v>70</v>
      </c>
      <c r="B3" s="155" t="s">
        <v>83</v>
      </c>
      <c r="C3" s="187">
        <v>44449</v>
      </c>
    </row>
    <row r="4" spans="1:3" ht="15" customHeight="1" x14ac:dyDescent="0.35">
      <c r="A4" s="186" t="s">
        <v>71</v>
      </c>
      <c r="B4" s="155" t="s">
        <v>83</v>
      </c>
      <c r="C4" s="187">
        <v>44732</v>
      </c>
    </row>
    <row r="5" spans="1:3" ht="15" customHeight="1" x14ac:dyDescent="0.35">
      <c r="A5" s="186" t="s">
        <v>72</v>
      </c>
      <c r="B5" s="155" t="s">
        <v>83</v>
      </c>
      <c r="C5" s="187">
        <v>45347</v>
      </c>
    </row>
    <row r="6" spans="1:3" ht="15" customHeight="1" x14ac:dyDescent="0.35">
      <c r="A6" s="186" t="s">
        <v>73</v>
      </c>
      <c r="B6" s="155" t="s">
        <v>83</v>
      </c>
      <c r="C6" s="187">
        <v>45438</v>
      </c>
    </row>
    <row r="7" spans="1:3" ht="15" customHeight="1" x14ac:dyDescent="0.35">
      <c r="A7" s="186" t="s">
        <v>74</v>
      </c>
      <c r="B7" s="155" t="s">
        <v>83</v>
      </c>
      <c r="C7" s="187">
        <v>45159</v>
      </c>
    </row>
    <row r="8" spans="1:3" ht="15" customHeight="1" x14ac:dyDescent="0.35">
      <c r="A8" s="186" t="s">
        <v>75</v>
      </c>
      <c r="B8" s="155" t="s">
        <v>83</v>
      </c>
      <c r="C8" s="187">
        <v>45396</v>
      </c>
    </row>
    <row r="9" spans="1:3" ht="15" customHeight="1" x14ac:dyDescent="0.35">
      <c r="A9" s="186" t="s">
        <v>76</v>
      </c>
      <c r="B9" s="155" t="s">
        <v>83</v>
      </c>
      <c r="C9" s="187"/>
    </row>
    <row r="10" spans="1:3" ht="15" customHeight="1" x14ac:dyDescent="0.35">
      <c r="A10" s="186" t="s">
        <v>77</v>
      </c>
      <c r="B10" s="155" t="s">
        <v>83</v>
      </c>
      <c r="C10" s="187"/>
    </row>
    <row r="11" spans="1:3" ht="15" customHeight="1" x14ac:dyDescent="0.35">
      <c r="A11" s="186" t="s">
        <v>78</v>
      </c>
      <c r="B11" s="155" t="s">
        <v>83</v>
      </c>
      <c r="C11" s="187">
        <v>45438</v>
      </c>
    </row>
    <row r="12" spans="1:3" ht="15" customHeight="1" x14ac:dyDescent="0.35">
      <c r="A12" s="186" t="s">
        <v>79</v>
      </c>
      <c r="B12" s="155" t="s">
        <v>83</v>
      </c>
      <c r="C12" s="187">
        <v>45466</v>
      </c>
    </row>
    <row r="13" spans="1:3" ht="15" customHeight="1" x14ac:dyDescent="0.35">
      <c r="A13" s="186" t="s">
        <v>80</v>
      </c>
      <c r="B13" s="155" t="s">
        <v>83</v>
      </c>
      <c r="C13" s="187">
        <v>45480</v>
      </c>
    </row>
    <row r="14" spans="1:3" ht="15" customHeight="1" x14ac:dyDescent="0.35">
      <c r="A14" s="186" t="s">
        <v>81</v>
      </c>
      <c r="B14" s="155" t="s">
        <v>83</v>
      </c>
      <c r="C14" s="187">
        <v>45508</v>
      </c>
    </row>
    <row r="15" spans="1:3" ht="15" customHeight="1" x14ac:dyDescent="0.35">
      <c r="A15" s="186" t="s">
        <v>82</v>
      </c>
      <c r="B15" s="155" t="s">
        <v>83</v>
      </c>
      <c r="C15" s="187">
        <v>45508</v>
      </c>
    </row>
    <row r="16" spans="1:3" ht="15" customHeight="1" x14ac:dyDescent="0.35">
      <c r="A16" s="186"/>
      <c r="B16" s="155"/>
      <c r="C16" s="187"/>
    </row>
    <row r="17" spans="1:3" ht="15" customHeight="1" x14ac:dyDescent="0.35">
      <c r="A17" s="186"/>
      <c r="B17" s="155"/>
      <c r="C17" s="187"/>
    </row>
    <row r="18" spans="1:3" ht="15" customHeight="1" x14ac:dyDescent="0.35">
      <c r="A18" s="186"/>
      <c r="B18" s="155"/>
      <c r="C18" s="187"/>
    </row>
    <row r="19" spans="1:3" ht="15" customHeight="1" x14ac:dyDescent="0.35">
      <c r="A19" s="186"/>
      <c r="B19" s="155"/>
      <c r="C19" s="187"/>
    </row>
    <row r="20" spans="1:3" ht="15" customHeight="1" x14ac:dyDescent="0.35">
      <c r="A20" s="186"/>
      <c r="B20" s="155"/>
      <c r="C20" s="187"/>
    </row>
    <row r="21" spans="1:3" ht="15" customHeight="1" x14ac:dyDescent="0.35">
      <c r="A21" s="186"/>
      <c r="B21" s="155"/>
      <c r="C21" s="187"/>
    </row>
    <row r="22" spans="1:3" ht="15" customHeight="1" x14ac:dyDescent="0.35">
      <c r="A22" s="186"/>
      <c r="B22" s="155"/>
      <c r="C22" s="187"/>
    </row>
    <row r="23" spans="1:3" ht="15" customHeight="1" x14ac:dyDescent="0.35">
      <c r="A23" s="186"/>
      <c r="B23" s="155"/>
      <c r="C23" s="187"/>
    </row>
    <row r="24" spans="1:3" ht="15" customHeight="1" x14ac:dyDescent="0.35">
      <c r="A24" s="186"/>
      <c r="B24" s="155"/>
      <c r="C24" s="187"/>
    </row>
    <row r="25" spans="1:3" ht="15" customHeight="1" x14ac:dyDescent="0.35">
      <c r="A25" s="186"/>
      <c r="B25" s="155"/>
      <c r="C25" s="187"/>
    </row>
    <row r="26" spans="1:3" ht="15" customHeight="1" x14ac:dyDescent="0.35">
      <c r="A26" s="186"/>
      <c r="B26" s="155"/>
      <c r="C26" s="187"/>
    </row>
    <row r="27" spans="1:3" ht="15" customHeight="1" x14ac:dyDescent="0.35">
      <c r="A27" s="186"/>
      <c r="B27" s="155"/>
      <c r="C27" s="187"/>
    </row>
    <row r="28" spans="1:3" ht="15" customHeight="1" x14ac:dyDescent="0.35">
      <c r="A28" s="186"/>
      <c r="B28" s="155"/>
      <c r="C28" s="187"/>
    </row>
    <row r="29" spans="1:3" ht="15" customHeight="1" x14ac:dyDescent="0.35">
      <c r="A29" s="186"/>
      <c r="B29" s="155"/>
      <c r="C29" s="187"/>
    </row>
    <row r="30" spans="1:3" ht="15" customHeight="1" x14ac:dyDescent="0.35">
      <c r="A30" s="186"/>
      <c r="B30" s="155"/>
      <c r="C30" s="187"/>
    </row>
    <row r="31" spans="1:3" ht="15" customHeight="1" x14ac:dyDescent="0.35">
      <c r="A31" s="186"/>
      <c r="B31" s="155"/>
      <c r="C31" s="187"/>
    </row>
    <row r="32" spans="1:3" ht="15" customHeight="1" x14ac:dyDescent="0.35">
      <c r="A32" s="186"/>
      <c r="B32" s="155"/>
      <c r="C32" s="187"/>
    </row>
    <row r="33" spans="1:3" ht="15" customHeight="1" x14ac:dyDescent="0.35">
      <c r="A33" s="186"/>
      <c r="B33" s="155"/>
      <c r="C33" s="187"/>
    </row>
    <row r="34" spans="1:3" ht="15" customHeight="1" x14ac:dyDescent="0.35">
      <c r="A34" s="186"/>
      <c r="B34" s="155"/>
      <c r="C34" s="187"/>
    </row>
    <row r="35" spans="1:3" ht="15" customHeight="1" x14ac:dyDescent="0.35">
      <c r="A35" s="186"/>
      <c r="B35" s="155"/>
      <c r="C35" s="187"/>
    </row>
    <row r="36" spans="1:3" ht="15" customHeight="1" x14ac:dyDescent="0.35">
      <c r="A36" s="186"/>
      <c r="B36" s="155"/>
      <c r="C36" s="187"/>
    </row>
    <row r="37" spans="1:3" ht="15" customHeight="1" x14ac:dyDescent="0.35">
      <c r="A37" s="186"/>
      <c r="B37" s="155"/>
      <c r="C37" s="187"/>
    </row>
    <row r="38" spans="1:3" ht="15" customHeight="1" x14ac:dyDescent="0.35">
      <c r="A38" s="186"/>
      <c r="B38" s="155"/>
      <c r="C38" s="187"/>
    </row>
    <row r="39" spans="1:3" ht="15" customHeight="1" x14ac:dyDescent="0.35">
      <c r="A39" s="186"/>
      <c r="B39" s="155"/>
      <c r="C39" s="187"/>
    </row>
    <row r="40" spans="1:3" ht="15" customHeight="1" x14ac:dyDescent="0.35">
      <c r="A40" s="186"/>
      <c r="B40" s="155"/>
      <c r="C40" s="187"/>
    </row>
    <row r="41" spans="1:3" ht="15" customHeight="1" x14ac:dyDescent="0.35">
      <c r="A41" s="186"/>
      <c r="B41" s="155"/>
      <c r="C41" s="187"/>
    </row>
    <row r="42" spans="1:3" ht="15" customHeight="1" x14ac:dyDescent="0.35">
      <c r="A42" s="186"/>
      <c r="B42" s="155"/>
      <c r="C42" s="187"/>
    </row>
    <row r="43" spans="1:3" ht="15" customHeight="1" x14ac:dyDescent="0.35">
      <c r="A43" s="186"/>
      <c r="B43" s="155"/>
      <c r="C43" s="187"/>
    </row>
    <row r="44" spans="1:3" ht="15" customHeight="1" x14ac:dyDescent="0.35">
      <c r="A44" s="186"/>
      <c r="B44" s="155"/>
      <c r="C44" s="187"/>
    </row>
    <row r="45" spans="1:3" ht="15" customHeight="1" x14ac:dyDescent="0.35">
      <c r="A45" s="186"/>
      <c r="B45" s="155"/>
      <c r="C45" s="187"/>
    </row>
    <row r="46" spans="1:3" ht="15" customHeight="1" x14ac:dyDescent="0.35">
      <c r="A46" s="186"/>
      <c r="B46" s="155"/>
      <c r="C46" s="187"/>
    </row>
    <row r="47" spans="1:3" ht="15" customHeight="1" x14ac:dyDescent="0.35">
      <c r="A47" s="186"/>
      <c r="B47" s="155"/>
      <c r="C47" s="187"/>
    </row>
    <row r="48" spans="1:3" ht="15" customHeight="1" x14ac:dyDescent="0.35">
      <c r="A48" s="186"/>
      <c r="B48" s="155"/>
      <c r="C48" s="187"/>
    </row>
    <row r="49" spans="1:3" ht="15" customHeight="1" x14ac:dyDescent="0.35">
      <c r="A49" s="186"/>
      <c r="B49" s="155"/>
      <c r="C49" s="187"/>
    </row>
    <row r="50" spans="1:3" ht="15" customHeight="1" x14ac:dyDescent="0.35">
      <c r="A50" s="186"/>
      <c r="B50" s="155"/>
      <c r="C50" s="187"/>
    </row>
    <row r="51" spans="1:3" ht="15" customHeight="1" x14ac:dyDescent="0.35">
      <c r="A51" s="186"/>
      <c r="B51" s="155"/>
      <c r="C51" s="187"/>
    </row>
    <row r="52" spans="1:3" ht="15" customHeight="1" x14ac:dyDescent="0.35">
      <c r="A52" s="186"/>
      <c r="B52" s="155"/>
      <c r="C52" s="187"/>
    </row>
    <row r="53" spans="1:3" ht="15" customHeight="1" x14ac:dyDescent="0.35">
      <c r="A53" s="186"/>
      <c r="B53" s="155"/>
      <c r="C53" s="187"/>
    </row>
    <row r="54" spans="1:3" ht="15" customHeight="1" x14ac:dyDescent="0.35">
      <c r="A54" s="186"/>
      <c r="B54" s="155"/>
      <c r="C54" s="187"/>
    </row>
    <row r="55" spans="1:3" ht="15" customHeight="1" x14ac:dyDescent="0.35">
      <c r="A55" s="186"/>
      <c r="B55" s="155"/>
      <c r="C55" s="187"/>
    </row>
    <row r="56" spans="1:3" ht="15" customHeight="1" x14ac:dyDescent="0.35">
      <c r="A56" s="186"/>
      <c r="B56" s="155"/>
      <c r="C56" s="187"/>
    </row>
    <row r="57" spans="1:3" ht="15" customHeight="1" x14ac:dyDescent="0.35">
      <c r="A57" s="186"/>
      <c r="B57" s="155"/>
      <c r="C57" s="187"/>
    </row>
    <row r="58" spans="1:3" ht="15" customHeight="1" x14ac:dyDescent="0.35">
      <c r="A58" s="186"/>
      <c r="B58" s="155"/>
      <c r="C58" s="187"/>
    </row>
    <row r="59" spans="1:3" ht="15" customHeight="1" x14ac:dyDescent="0.35">
      <c r="A59" s="186"/>
      <c r="B59" s="155"/>
      <c r="C59" s="187"/>
    </row>
    <row r="60" spans="1:3" ht="15" customHeight="1" x14ac:dyDescent="0.35">
      <c r="A60" s="186"/>
      <c r="B60" s="155"/>
      <c r="C60" s="187"/>
    </row>
    <row r="61" spans="1:3" ht="15" customHeight="1" x14ac:dyDescent="0.35">
      <c r="A61" s="186"/>
      <c r="B61" s="155"/>
      <c r="C61" s="187"/>
    </row>
    <row r="62" spans="1:3" ht="15" customHeight="1" x14ac:dyDescent="0.35">
      <c r="A62" s="186"/>
      <c r="B62" s="155"/>
      <c r="C62" s="187"/>
    </row>
    <row r="63" spans="1:3" ht="15" customHeight="1" x14ac:dyDescent="0.35">
      <c r="A63" s="186"/>
      <c r="B63" s="155"/>
      <c r="C63" s="187"/>
    </row>
    <row r="64" spans="1:3" ht="15" customHeight="1" x14ac:dyDescent="0.35">
      <c r="A64" s="186"/>
      <c r="B64" s="155"/>
      <c r="C64" s="187"/>
    </row>
    <row r="65" spans="1:3" ht="15" customHeight="1" x14ac:dyDescent="0.35">
      <c r="A65" s="186"/>
      <c r="B65" s="155"/>
      <c r="C65" s="187"/>
    </row>
    <row r="66" spans="1:3" ht="15" customHeight="1" x14ac:dyDescent="0.35">
      <c r="A66" s="186"/>
      <c r="B66" s="155"/>
      <c r="C66" s="187"/>
    </row>
    <row r="67" spans="1:3" ht="15" customHeight="1" x14ac:dyDescent="0.35">
      <c r="A67" s="186"/>
      <c r="B67" s="155"/>
      <c r="C67" s="187"/>
    </row>
    <row r="68" spans="1:3" ht="15" customHeight="1" x14ac:dyDescent="0.35">
      <c r="A68" s="186"/>
      <c r="B68" s="155"/>
      <c r="C68" s="187"/>
    </row>
    <row r="69" spans="1:3" ht="15" customHeight="1" x14ac:dyDescent="0.35">
      <c r="A69" s="186"/>
      <c r="B69" s="155"/>
      <c r="C69" s="187"/>
    </row>
    <row r="70" spans="1:3" ht="15" customHeight="1" x14ac:dyDescent="0.35">
      <c r="A70" s="186"/>
      <c r="B70" s="155"/>
      <c r="C70" s="187"/>
    </row>
    <row r="71" spans="1:3" ht="15" customHeight="1" x14ac:dyDescent="0.35">
      <c r="A71" s="186"/>
      <c r="B71" s="155"/>
      <c r="C71" s="187"/>
    </row>
    <row r="72" spans="1:3" ht="15" customHeight="1" x14ac:dyDescent="0.35">
      <c r="A72" s="186"/>
      <c r="B72" s="155"/>
      <c r="C72" s="187"/>
    </row>
    <row r="73" spans="1:3" ht="15" customHeight="1" x14ac:dyDescent="0.35">
      <c r="A73" s="186"/>
      <c r="B73" s="155"/>
      <c r="C73" s="187"/>
    </row>
    <row r="74" spans="1:3" ht="15" customHeight="1" x14ac:dyDescent="0.35">
      <c r="A74" s="186"/>
      <c r="B74" s="155"/>
      <c r="C74" s="187"/>
    </row>
    <row r="75" spans="1:3" ht="15" customHeight="1" x14ac:dyDescent="0.35">
      <c r="A75" s="186"/>
      <c r="B75" s="155"/>
      <c r="C75" s="187"/>
    </row>
    <row r="76" spans="1:3" ht="15" customHeight="1" x14ac:dyDescent="0.35">
      <c r="A76" s="186"/>
      <c r="B76" s="155"/>
      <c r="C76" s="187"/>
    </row>
    <row r="77" spans="1:3" ht="15" customHeight="1" x14ac:dyDescent="0.35">
      <c r="A77" s="186"/>
      <c r="B77" s="155"/>
      <c r="C77" s="187"/>
    </row>
    <row r="78" spans="1:3" ht="15" customHeight="1" x14ac:dyDescent="0.35">
      <c r="A78" s="186"/>
      <c r="B78" s="155"/>
      <c r="C78" s="187"/>
    </row>
    <row r="79" spans="1:3" ht="15" customHeight="1" x14ac:dyDescent="0.35">
      <c r="A79" s="186"/>
      <c r="B79" s="155"/>
      <c r="C79" s="187"/>
    </row>
    <row r="80" spans="1:3" ht="15" customHeight="1" x14ac:dyDescent="0.35">
      <c r="A80" s="186"/>
      <c r="B80" s="155"/>
      <c r="C80" s="187"/>
    </row>
    <row r="81" spans="1:3" ht="15" customHeight="1" x14ac:dyDescent="0.35">
      <c r="A81" s="186"/>
      <c r="B81" s="155"/>
      <c r="C81" s="187"/>
    </row>
    <row r="82" spans="1:3" ht="15" customHeight="1" x14ac:dyDescent="0.35">
      <c r="A82" s="186"/>
      <c r="B82" s="155"/>
      <c r="C82" s="187"/>
    </row>
    <row r="83" spans="1:3" ht="15" customHeight="1" x14ac:dyDescent="0.35">
      <c r="A83" s="186"/>
      <c r="B83" s="155"/>
      <c r="C83" s="187"/>
    </row>
    <row r="84" spans="1:3" ht="15" customHeight="1" x14ac:dyDescent="0.35">
      <c r="A84" s="186"/>
      <c r="B84" s="155"/>
      <c r="C84" s="187"/>
    </row>
    <row r="85" spans="1:3" ht="15" customHeight="1" x14ac:dyDescent="0.35">
      <c r="A85" s="186"/>
      <c r="B85" s="155"/>
      <c r="C85" s="187"/>
    </row>
    <row r="86" spans="1:3" ht="15" customHeight="1" x14ac:dyDescent="0.35">
      <c r="A86" s="186"/>
      <c r="B86" s="155"/>
      <c r="C86" s="187"/>
    </row>
    <row r="87" spans="1:3" ht="15" customHeight="1" x14ac:dyDescent="0.35">
      <c r="A87" s="186"/>
      <c r="B87" s="155"/>
      <c r="C87" s="187"/>
    </row>
    <row r="88" spans="1:3" ht="15" customHeight="1" x14ac:dyDescent="0.35">
      <c r="A88" s="186"/>
      <c r="B88" s="155"/>
      <c r="C88" s="187"/>
    </row>
    <row r="89" spans="1:3" ht="15" customHeight="1" x14ac:dyDescent="0.35">
      <c r="A89" s="186"/>
      <c r="B89" s="155"/>
      <c r="C89" s="187"/>
    </row>
    <row r="90" spans="1:3" ht="15" customHeight="1" x14ac:dyDescent="0.35">
      <c r="A90" s="186"/>
      <c r="B90" s="155"/>
      <c r="C90" s="187"/>
    </row>
    <row r="91" spans="1:3" ht="15" customHeight="1" x14ac:dyDescent="0.35">
      <c r="A91" s="186"/>
      <c r="B91" s="155"/>
      <c r="C91" s="187"/>
    </row>
    <row r="92" spans="1:3" ht="15" customHeight="1" x14ac:dyDescent="0.35">
      <c r="A92" s="186"/>
      <c r="B92" s="155"/>
      <c r="C92" s="187"/>
    </row>
    <row r="93" spans="1:3" ht="15" customHeight="1" x14ac:dyDescent="0.35">
      <c r="A93" s="186"/>
      <c r="B93" s="155"/>
      <c r="C93" s="187"/>
    </row>
    <row r="94" spans="1:3" ht="15" customHeight="1" x14ac:dyDescent="0.35">
      <c r="A94" s="186"/>
      <c r="B94" s="155"/>
      <c r="C94" s="187"/>
    </row>
    <row r="95" spans="1:3" ht="15" customHeight="1" x14ac:dyDescent="0.35">
      <c r="A95" s="186"/>
      <c r="B95" s="155"/>
      <c r="C95" s="187"/>
    </row>
    <row r="96" spans="1:3" ht="15" customHeight="1" x14ac:dyDescent="0.35">
      <c r="A96" s="186"/>
      <c r="B96" s="155"/>
      <c r="C96" s="187"/>
    </row>
    <row r="97" spans="1:3" ht="15" customHeight="1" x14ac:dyDescent="0.35">
      <c r="A97" s="186"/>
      <c r="B97" s="155"/>
      <c r="C97" s="187"/>
    </row>
    <row r="98" spans="1:3" ht="15" customHeight="1" x14ac:dyDescent="0.35">
      <c r="A98" s="186"/>
      <c r="B98" s="155"/>
      <c r="C98" s="187"/>
    </row>
    <row r="99" spans="1:3" ht="15" customHeight="1" x14ac:dyDescent="0.35">
      <c r="A99" s="186"/>
      <c r="B99" s="155"/>
      <c r="C99" s="187"/>
    </row>
    <row r="100" spans="1:3" ht="15" customHeight="1" x14ac:dyDescent="0.35">
      <c r="A100" s="186"/>
      <c r="B100" s="155"/>
      <c r="C100" s="187"/>
    </row>
    <row r="101" spans="1:3" ht="15" customHeight="1" x14ac:dyDescent="0.35">
      <c r="A101" s="186"/>
      <c r="B101" s="155"/>
      <c r="C101" s="187"/>
    </row>
    <row r="102" spans="1:3" ht="15" customHeight="1" x14ac:dyDescent="0.35">
      <c r="A102" s="186"/>
      <c r="B102" s="155"/>
      <c r="C102" s="187"/>
    </row>
    <row r="103" spans="1:3" ht="15" customHeight="1" x14ac:dyDescent="0.35">
      <c r="A103" s="186"/>
      <c r="B103" s="155"/>
      <c r="C103" s="187"/>
    </row>
    <row r="104" spans="1:3" ht="15" customHeight="1" x14ac:dyDescent="0.35">
      <c r="A104" s="186"/>
      <c r="B104" s="155"/>
      <c r="C104" s="187"/>
    </row>
    <row r="105" spans="1:3" ht="15" customHeight="1" x14ac:dyDescent="0.35">
      <c r="A105" s="186"/>
      <c r="B105" s="155"/>
      <c r="C105" s="187"/>
    </row>
    <row r="106" spans="1:3" ht="15" customHeight="1" x14ac:dyDescent="0.35">
      <c r="A106" s="186"/>
      <c r="B106" s="155"/>
      <c r="C106" s="187"/>
    </row>
    <row r="107" spans="1:3" ht="15" customHeight="1" x14ac:dyDescent="0.35">
      <c r="A107" s="186"/>
      <c r="B107" s="155"/>
      <c r="C107" s="187"/>
    </row>
    <row r="108" spans="1:3" ht="15" customHeight="1" x14ac:dyDescent="0.35">
      <c r="A108" s="186"/>
      <c r="B108" s="155"/>
      <c r="C108" s="187"/>
    </row>
    <row r="109" spans="1:3" ht="15" customHeight="1" x14ac:dyDescent="0.35">
      <c r="A109" s="186"/>
      <c r="B109" s="155"/>
      <c r="C109" s="187"/>
    </row>
    <row r="110" spans="1:3" ht="15" customHeight="1" x14ac:dyDescent="0.35">
      <c r="A110" s="186"/>
      <c r="B110" s="155"/>
      <c r="C110" s="187"/>
    </row>
    <row r="111" spans="1:3" ht="15" customHeight="1" x14ac:dyDescent="0.35">
      <c r="A111" s="186"/>
      <c r="B111" s="155"/>
      <c r="C111" s="187"/>
    </row>
    <row r="112" spans="1:3" ht="15" customHeight="1" x14ac:dyDescent="0.35">
      <c r="A112" s="186"/>
      <c r="B112" s="155"/>
      <c r="C112" s="187"/>
    </row>
    <row r="113" spans="1:3" ht="15" customHeight="1" x14ac:dyDescent="0.35">
      <c r="A113" s="186"/>
      <c r="B113" s="155"/>
      <c r="C113" s="187"/>
    </row>
    <row r="114" spans="1:3" ht="15" customHeight="1" x14ac:dyDescent="0.35">
      <c r="A114" s="186"/>
      <c r="B114" s="155"/>
      <c r="C114" s="187"/>
    </row>
    <row r="115" spans="1:3" ht="15" customHeight="1" x14ac:dyDescent="0.35">
      <c r="A115" s="186"/>
      <c r="B115" s="155"/>
      <c r="C115" s="187"/>
    </row>
    <row r="116" spans="1:3" ht="15" customHeight="1" x14ac:dyDescent="0.35">
      <c r="A116" s="186"/>
      <c r="B116" s="155"/>
      <c r="C116" s="187"/>
    </row>
    <row r="117" spans="1:3" ht="15" customHeight="1" x14ac:dyDescent="0.35">
      <c r="A117" s="186"/>
      <c r="B117" s="155"/>
      <c r="C117" s="187"/>
    </row>
    <row r="118" spans="1:3" ht="15" customHeight="1" x14ac:dyDescent="0.35">
      <c r="A118" s="186"/>
      <c r="B118" s="155"/>
      <c r="C118" s="187"/>
    </row>
    <row r="119" spans="1:3" ht="15" customHeight="1" x14ac:dyDescent="0.35">
      <c r="A119" s="186"/>
      <c r="B119" s="155"/>
      <c r="C119" s="187"/>
    </row>
    <row r="120" spans="1:3" ht="15" customHeight="1" x14ac:dyDescent="0.35">
      <c r="A120" s="186"/>
      <c r="B120" s="155"/>
      <c r="C120" s="187"/>
    </row>
    <row r="121" spans="1:3" ht="15" customHeight="1" x14ac:dyDescent="0.35">
      <c r="A121" s="186"/>
      <c r="B121" s="155"/>
      <c r="C121" s="187"/>
    </row>
    <row r="122" spans="1:3" ht="15" customHeight="1" x14ac:dyDescent="0.35">
      <c r="A122" s="186"/>
      <c r="B122" s="155"/>
      <c r="C122" s="187"/>
    </row>
    <row r="123" spans="1:3" ht="15" customHeight="1" x14ac:dyDescent="0.35">
      <c r="A123" s="186"/>
      <c r="B123" s="155"/>
      <c r="C123" s="187"/>
    </row>
    <row r="124" spans="1:3" ht="15" customHeight="1" x14ac:dyDescent="0.35">
      <c r="A124" s="186"/>
      <c r="B124" s="155"/>
      <c r="C124" s="187"/>
    </row>
    <row r="125" spans="1:3" ht="15" customHeight="1" x14ac:dyDescent="0.35">
      <c r="A125" s="186"/>
      <c r="B125" s="155"/>
      <c r="C125" s="187"/>
    </row>
    <row r="126" spans="1:3" ht="15" customHeight="1" x14ac:dyDescent="0.35">
      <c r="A126" s="186"/>
      <c r="B126" s="155"/>
      <c r="C126" s="187"/>
    </row>
    <row r="127" spans="1:3" ht="15" customHeight="1" x14ac:dyDescent="0.35">
      <c r="A127" s="186"/>
      <c r="B127" s="155"/>
      <c r="C127" s="187"/>
    </row>
    <row r="128" spans="1:3" ht="15" customHeight="1" x14ac:dyDescent="0.35">
      <c r="A128" s="186"/>
      <c r="B128" s="155"/>
      <c r="C128" s="187"/>
    </row>
    <row r="129" spans="1:3" ht="15" customHeight="1" x14ac:dyDescent="0.35">
      <c r="A129" s="186"/>
      <c r="B129" s="155"/>
      <c r="C129" s="187"/>
    </row>
    <row r="130" spans="1:3" ht="15" customHeight="1" x14ac:dyDescent="0.35">
      <c r="A130" s="186"/>
      <c r="B130" s="155"/>
      <c r="C130" s="187"/>
    </row>
    <row r="131" spans="1:3" ht="15" customHeight="1" x14ac:dyDescent="0.35">
      <c r="A131" s="186"/>
      <c r="B131" s="155"/>
      <c r="C131" s="187"/>
    </row>
    <row r="132" spans="1:3" ht="15" customHeight="1" x14ac:dyDescent="0.35">
      <c r="A132" s="186"/>
      <c r="B132" s="155"/>
      <c r="C132" s="187"/>
    </row>
    <row r="133" spans="1:3" ht="15" customHeight="1" x14ac:dyDescent="0.35">
      <c r="A133" s="186"/>
      <c r="B133" s="155"/>
      <c r="C133" s="187"/>
    </row>
    <row r="134" spans="1:3" ht="15" customHeight="1" x14ac:dyDescent="0.35">
      <c r="A134" s="186"/>
      <c r="B134" s="155"/>
      <c r="C134" s="187"/>
    </row>
    <row r="135" spans="1:3" ht="15" customHeight="1" x14ac:dyDescent="0.35">
      <c r="A135" s="186"/>
      <c r="B135" s="155"/>
      <c r="C135" s="187"/>
    </row>
    <row r="136" spans="1:3" ht="15" customHeight="1" x14ac:dyDescent="0.35">
      <c r="A136" s="186"/>
      <c r="B136" s="155"/>
      <c r="C136" s="187"/>
    </row>
    <row r="137" spans="1:3" ht="15" customHeight="1" x14ac:dyDescent="0.35">
      <c r="A137" s="186"/>
      <c r="B137" s="155"/>
      <c r="C137" s="187"/>
    </row>
    <row r="138" spans="1:3" ht="15" customHeight="1" x14ac:dyDescent="0.35">
      <c r="A138" s="186"/>
      <c r="B138" s="155"/>
      <c r="C138" s="187"/>
    </row>
    <row r="139" spans="1:3" ht="15" customHeight="1" x14ac:dyDescent="0.35">
      <c r="A139" s="186"/>
      <c r="B139" s="155"/>
      <c r="C139" s="187"/>
    </row>
    <row r="140" spans="1:3" ht="15" customHeight="1" x14ac:dyDescent="0.35">
      <c r="A140" s="186"/>
      <c r="B140" s="155"/>
      <c r="C140" s="187"/>
    </row>
    <row r="141" spans="1:3" ht="15" customHeight="1" x14ac:dyDescent="0.35">
      <c r="A141" s="186"/>
      <c r="B141" s="155"/>
      <c r="C141" s="187"/>
    </row>
    <row r="142" spans="1:3" ht="15" customHeight="1" x14ac:dyDescent="0.35">
      <c r="A142" s="186"/>
      <c r="B142" s="155"/>
      <c r="C142" s="187"/>
    </row>
    <row r="143" spans="1:3" ht="15" customHeight="1" x14ac:dyDescent="0.35">
      <c r="A143" s="186"/>
      <c r="B143" s="155"/>
      <c r="C143" s="187"/>
    </row>
    <row r="144" spans="1:3" ht="15" customHeight="1" x14ac:dyDescent="0.35">
      <c r="A144" s="186"/>
      <c r="B144" s="155"/>
      <c r="C144" s="187"/>
    </row>
    <row r="145" spans="1:3" ht="15" customHeight="1" x14ac:dyDescent="0.35">
      <c r="A145" s="186"/>
      <c r="B145" s="155"/>
      <c r="C145" s="187"/>
    </row>
    <row r="146" spans="1:3" ht="15" customHeight="1" x14ac:dyDescent="0.35">
      <c r="A146" s="186"/>
      <c r="B146" s="155"/>
      <c r="C146" s="187"/>
    </row>
    <row r="147" spans="1:3" ht="15" customHeight="1" x14ac:dyDescent="0.35">
      <c r="A147" s="186"/>
      <c r="B147" s="155"/>
      <c r="C147" s="187"/>
    </row>
    <row r="148" spans="1:3" ht="15" customHeight="1" x14ac:dyDescent="0.35">
      <c r="A148" s="186"/>
      <c r="B148" s="155"/>
      <c r="C148" s="187"/>
    </row>
    <row r="149" spans="1:3" ht="15" customHeight="1" x14ac:dyDescent="0.35">
      <c r="A149" s="186"/>
      <c r="B149" s="155"/>
      <c r="C149" s="187"/>
    </row>
    <row r="150" spans="1:3" ht="15" customHeight="1" x14ac:dyDescent="0.35">
      <c r="A150" s="186"/>
      <c r="B150" s="155"/>
      <c r="C150" s="187"/>
    </row>
    <row r="151" spans="1:3" ht="15" customHeight="1" x14ac:dyDescent="0.35">
      <c r="A151" s="186"/>
      <c r="B151" s="155"/>
      <c r="C151" s="187"/>
    </row>
    <row r="152" spans="1:3" ht="15" customHeight="1" x14ac:dyDescent="0.35">
      <c r="A152" s="186"/>
      <c r="B152" s="155"/>
      <c r="C152" s="187"/>
    </row>
    <row r="153" spans="1:3" ht="15" customHeight="1" x14ac:dyDescent="0.35">
      <c r="A153" s="186"/>
      <c r="B153" s="155"/>
      <c r="C153" s="187"/>
    </row>
    <row r="154" spans="1:3" ht="15" customHeight="1" x14ac:dyDescent="0.35">
      <c r="A154" s="186"/>
      <c r="B154" s="155"/>
      <c r="C154" s="187"/>
    </row>
    <row r="155" spans="1:3" ht="15" customHeight="1" x14ac:dyDescent="0.35">
      <c r="A155" s="186"/>
      <c r="B155" s="155"/>
      <c r="C155" s="187"/>
    </row>
    <row r="156" spans="1:3" ht="15" customHeight="1" x14ac:dyDescent="0.35">
      <c r="A156" s="186"/>
      <c r="B156" s="155"/>
      <c r="C156" s="187"/>
    </row>
    <row r="157" spans="1:3" ht="15" customHeight="1" x14ac:dyDescent="0.35">
      <c r="A157" s="186"/>
      <c r="B157" s="155"/>
      <c r="C157" s="187"/>
    </row>
    <row r="158" spans="1:3" ht="15" customHeight="1" x14ac:dyDescent="0.35">
      <c r="A158" s="186"/>
      <c r="B158" s="155"/>
      <c r="C158" s="187"/>
    </row>
    <row r="159" spans="1:3" ht="15" customHeight="1" x14ac:dyDescent="0.35">
      <c r="A159" s="186"/>
      <c r="B159" s="155"/>
      <c r="C159" s="187"/>
    </row>
    <row r="160" spans="1:3" ht="15" customHeight="1" x14ac:dyDescent="0.35">
      <c r="A160" s="186"/>
      <c r="B160" s="155"/>
      <c r="C160" s="187"/>
    </row>
    <row r="161" spans="1:3" ht="15" customHeight="1" x14ac:dyDescent="0.35">
      <c r="A161" s="186"/>
      <c r="B161" s="155"/>
      <c r="C161" s="187"/>
    </row>
    <row r="162" spans="1:3" ht="15" customHeight="1" x14ac:dyDescent="0.35">
      <c r="A162" s="186"/>
      <c r="B162" s="155"/>
      <c r="C162" s="187"/>
    </row>
    <row r="163" spans="1:3" ht="15" customHeight="1" x14ac:dyDescent="0.35">
      <c r="A163" s="186"/>
      <c r="B163" s="155"/>
      <c r="C163" s="187"/>
    </row>
    <row r="164" spans="1:3" ht="15" customHeight="1" x14ac:dyDescent="0.35">
      <c r="A164" s="186"/>
      <c r="B164" s="155"/>
      <c r="C164" s="187"/>
    </row>
    <row r="165" spans="1:3" ht="15" customHeight="1" x14ac:dyDescent="0.35">
      <c r="A165" s="186"/>
      <c r="B165" s="155"/>
      <c r="C165" s="187"/>
    </row>
    <row r="166" spans="1:3" ht="15" customHeight="1" x14ac:dyDescent="0.35">
      <c r="A166" s="186"/>
      <c r="B166" s="155"/>
      <c r="C166" s="187"/>
    </row>
    <row r="167" spans="1:3" ht="15" customHeight="1" x14ac:dyDescent="0.35">
      <c r="A167" s="186"/>
      <c r="B167" s="155"/>
      <c r="C167" s="187"/>
    </row>
    <row r="168" spans="1:3" ht="15" customHeight="1" x14ac:dyDescent="0.35">
      <c r="A168" s="186"/>
      <c r="B168" s="155"/>
      <c r="C168" s="187"/>
    </row>
    <row r="169" spans="1:3" ht="15" customHeight="1" x14ac:dyDescent="0.35">
      <c r="A169" s="186"/>
      <c r="B169" s="155"/>
      <c r="C169" s="187"/>
    </row>
    <row r="170" spans="1:3" ht="15" customHeight="1" x14ac:dyDescent="0.35">
      <c r="A170" s="186"/>
      <c r="B170" s="155"/>
      <c r="C170" s="187"/>
    </row>
    <row r="171" spans="1:3" ht="15" customHeight="1" x14ac:dyDescent="0.35">
      <c r="A171" s="186"/>
      <c r="B171" s="155"/>
      <c r="C171" s="187"/>
    </row>
    <row r="172" spans="1:3" ht="15" customHeight="1" x14ac:dyDescent="0.35">
      <c r="A172" s="186"/>
      <c r="B172" s="155"/>
      <c r="C172" s="187"/>
    </row>
    <row r="173" spans="1:3" ht="15" customHeight="1" x14ac:dyDescent="0.35">
      <c r="A173" s="186"/>
      <c r="B173" s="155"/>
      <c r="C173" s="187"/>
    </row>
    <row r="174" spans="1:3" ht="15" customHeight="1" x14ac:dyDescent="0.35">
      <c r="A174" s="186"/>
      <c r="B174" s="155"/>
      <c r="C174" s="187"/>
    </row>
    <row r="175" spans="1:3" ht="15" customHeight="1" x14ac:dyDescent="0.35">
      <c r="A175" s="186"/>
      <c r="B175" s="155"/>
      <c r="C175" s="187"/>
    </row>
    <row r="176" spans="1:3" ht="15" customHeight="1" x14ac:dyDescent="0.35">
      <c r="A176" s="186"/>
      <c r="B176" s="155"/>
      <c r="C176" s="187"/>
    </row>
    <row r="177" spans="1:3" ht="15" customHeight="1" x14ac:dyDescent="0.35">
      <c r="A177" s="186"/>
      <c r="B177" s="155"/>
      <c r="C177" s="187"/>
    </row>
    <row r="178" spans="1:3" ht="15" customHeight="1" x14ac:dyDescent="0.35">
      <c r="A178" s="186"/>
      <c r="B178" s="155"/>
      <c r="C178" s="187"/>
    </row>
    <row r="179" spans="1:3" ht="15" customHeight="1" x14ac:dyDescent="0.35">
      <c r="A179" s="186"/>
      <c r="B179" s="155"/>
      <c r="C179" s="187"/>
    </row>
    <row r="180" spans="1:3" ht="15" customHeight="1" x14ac:dyDescent="0.35">
      <c r="A180" s="186"/>
      <c r="B180" s="155"/>
      <c r="C180" s="187"/>
    </row>
    <row r="181" spans="1:3" ht="15" customHeight="1" x14ac:dyDescent="0.35">
      <c r="A181" s="186"/>
      <c r="B181" s="155"/>
      <c r="C181" s="187"/>
    </row>
    <row r="182" spans="1:3" ht="15" customHeight="1" x14ac:dyDescent="0.35">
      <c r="A182" s="186"/>
      <c r="B182" s="155"/>
      <c r="C182" s="187"/>
    </row>
    <row r="183" spans="1:3" ht="15" customHeight="1" x14ac:dyDescent="0.35">
      <c r="A183" s="186"/>
      <c r="B183" s="155"/>
      <c r="C183" s="187"/>
    </row>
    <row r="184" spans="1:3" ht="15" customHeight="1" x14ac:dyDescent="0.35">
      <c r="A184" s="186"/>
      <c r="B184" s="155"/>
      <c r="C184" s="187"/>
    </row>
    <row r="185" spans="1:3" ht="15" customHeight="1" x14ac:dyDescent="0.35">
      <c r="A185" s="186"/>
      <c r="B185" s="155"/>
      <c r="C185" s="187"/>
    </row>
    <row r="186" spans="1:3" ht="15" customHeight="1" x14ac:dyDescent="0.35">
      <c r="A186" s="186"/>
      <c r="B186" s="155"/>
      <c r="C186" s="187"/>
    </row>
    <row r="187" spans="1:3" ht="15" customHeight="1" x14ac:dyDescent="0.35">
      <c r="A187" s="186"/>
      <c r="B187" s="155"/>
      <c r="C187" s="187"/>
    </row>
    <row r="188" spans="1:3" ht="15" customHeight="1" x14ac:dyDescent="0.35">
      <c r="A188" s="186"/>
      <c r="B188" s="155"/>
      <c r="C188" s="187"/>
    </row>
    <row r="189" spans="1:3" ht="15" customHeight="1" x14ac:dyDescent="0.35">
      <c r="A189" s="186"/>
      <c r="B189" s="155"/>
      <c r="C189" s="187"/>
    </row>
    <row r="190" spans="1:3" ht="15" customHeight="1" x14ac:dyDescent="0.35">
      <c r="A190" s="186"/>
      <c r="B190" s="155"/>
      <c r="C190" s="187"/>
    </row>
    <row r="191" spans="1:3" ht="15" customHeight="1" x14ac:dyDescent="0.35">
      <c r="A191" s="186"/>
      <c r="B191" s="155"/>
      <c r="C191" s="187"/>
    </row>
    <row r="192" spans="1:3" ht="15" customHeight="1" x14ac:dyDescent="0.35">
      <c r="A192" s="186"/>
      <c r="B192" s="155"/>
      <c r="C192" s="187"/>
    </row>
    <row r="193" spans="1:3" ht="15" customHeight="1" x14ac:dyDescent="0.35">
      <c r="A193" s="186"/>
      <c r="B193" s="155"/>
      <c r="C193" s="187"/>
    </row>
    <row r="194" spans="1:3" ht="15" customHeight="1" x14ac:dyDescent="0.35">
      <c r="A194" s="186"/>
      <c r="B194" s="155"/>
      <c r="C194" s="187"/>
    </row>
    <row r="195" spans="1:3" ht="15" customHeight="1" x14ac:dyDescent="0.35">
      <c r="A195" s="186"/>
      <c r="B195" s="155"/>
      <c r="C195" s="187"/>
    </row>
    <row r="196" spans="1:3" ht="15" customHeight="1" x14ac:dyDescent="0.35">
      <c r="A196" s="186"/>
      <c r="B196" s="155"/>
      <c r="C196" s="187"/>
    </row>
    <row r="197" spans="1:3" ht="15" customHeight="1" x14ac:dyDescent="0.35">
      <c r="A197" s="186"/>
      <c r="B197" s="155"/>
      <c r="C197" s="187"/>
    </row>
    <row r="198" spans="1:3" ht="15" customHeight="1" x14ac:dyDescent="0.35">
      <c r="A198" s="186"/>
      <c r="B198" s="155"/>
      <c r="C198" s="187"/>
    </row>
    <row r="199" spans="1:3" ht="15" customHeight="1" x14ac:dyDescent="0.35">
      <c r="A199" s="186"/>
      <c r="B199" s="155"/>
      <c r="C199" s="187"/>
    </row>
    <row r="200" spans="1:3" ht="15" customHeight="1" x14ac:dyDescent="0.35">
      <c r="A200" s="186"/>
      <c r="B200" s="155"/>
      <c r="C200" s="187"/>
    </row>
    <row r="201" spans="1:3" ht="15" customHeight="1" x14ac:dyDescent="0.35">
      <c r="A201" s="186"/>
      <c r="B201" s="155"/>
      <c r="C201" s="187"/>
    </row>
    <row r="202" spans="1:3" ht="15" customHeight="1" x14ac:dyDescent="0.35">
      <c r="A202" s="186"/>
      <c r="B202" s="155"/>
      <c r="C202" s="187"/>
    </row>
    <row r="203" spans="1:3" ht="15" customHeight="1" x14ac:dyDescent="0.35">
      <c r="A203" s="186"/>
      <c r="B203" s="155"/>
      <c r="C203" s="187"/>
    </row>
    <row r="204" spans="1:3" ht="15" customHeight="1" x14ac:dyDescent="0.35">
      <c r="A204" s="186"/>
      <c r="B204" s="155"/>
      <c r="C204" s="187"/>
    </row>
    <row r="205" spans="1:3" ht="15" customHeight="1" x14ac:dyDescent="0.35">
      <c r="A205" s="186"/>
      <c r="B205" s="155"/>
      <c r="C205" s="187"/>
    </row>
    <row r="206" spans="1:3" ht="15" customHeight="1" x14ac:dyDescent="0.35">
      <c r="A206" s="186"/>
      <c r="B206" s="155"/>
      <c r="C206" s="187"/>
    </row>
    <row r="207" spans="1:3" ht="15" customHeight="1" x14ac:dyDescent="0.35">
      <c r="A207" s="186"/>
      <c r="B207" s="155"/>
      <c r="C207" s="187"/>
    </row>
    <row r="208" spans="1:3" ht="15" customHeight="1" x14ac:dyDescent="0.35">
      <c r="A208" s="186"/>
      <c r="B208" s="155"/>
      <c r="C208" s="187"/>
    </row>
    <row r="209" spans="1:3" ht="15" customHeight="1" x14ac:dyDescent="0.35">
      <c r="A209" s="186"/>
      <c r="B209" s="155"/>
      <c r="C209" s="187"/>
    </row>
    <row r="210" spans="1:3" ht="15" customHeight="1" x14ac:dyDescent="0.35">
      <c r="A210" s="186"/>
      <c r="B210" s="155"/>
      <c r="C210" s="187"/>
    </row>
    <row r="211" spans="1:3" ht="15" customHeight="1" x14ac:dyDescent="0.35">
      <c r="A211" s="186"/>
      <c r="B211" s="155"/>
      <c r="C211" s="187"/>
    </row>
    <row r="212" spans="1:3" ht="15" customHeight="1" x14ac:dyDescent="0.35">
      <c r="A212" s="186"/>
      <c r="B212" s="155"/>
      <c r="C212" s="187"/>
    </row>
    <row r="213" spans="1:3" ht="15" customHeight="1" x14ac:dyDescent="0.35">
      <c r="A213" s="186"/>
      <c r="B213" s="155"/>
      <c r="C213" s="187"/>
    </row>
    <row r="214" spans="1:3" ht="15" customHeight="1" x14ac:dyDescent="0.35">
      <c r="A214" s="186"/>
      <c r="B214" s="155"/>
      <c r="C214" s="187"/>
    </row>
    <row r="215" spans="1:3" ht="15" customHeight="1" x14ac:dyDescent="0.35">
      <c r="A215" s="186"/>
      <c r="B215" s="155"/>
      <c r="C215" s="187"/>
    </row>
    <row r="216" spans="1:3" ht="15" customHeight="1" x14ac:dyDescent="0.35">
      <c r="A216" s="186"/>
      <c r="B216" s="155"/>
      <c r="C216" s="187"/>
    </row>
    <row r="217" spans="1:3" ht="15" customHeight="1" x14ac:dyDescent="0.35">
      <c r="A217" s="186"/>
      <c r="B217" s="155"/>
      <c r="C217" s="187"/>
    </row>
    <row r="218" spans="1:3" ht="15" customHeight="1" x14ac:dyDescent="0.35">
      <c r="A218" s="186"/>
      <c r="B218" s="155"/>
      <c r="C218" s="187"/>
    </row>
    <row r="219" spans="1:3" ht="15" customHeight="1" x14ac:dyDescent="0.35">
      <c r="A219" s="186"/>
      <c r="B219" s="155"/>
      <c r="C219" s="187"/>
    </row>
    <row r="220" spans="1:3" ht="15" customHeight="1" x14ac:dyDescent="0.35">
      <c r="A220" s="186"/>
      <c r="B220" s="155"/>
      <c r="C220" s="187"/>
    </row>
    <row r="221" spans="1:3" ht="15" customHeight="1" x14ac:dyDescent="0.35">
      <c r="A221" s="186"/>
      <c r="B221" s="155"/>
      <c r="C221" s="187"/>
    </row>
    <row r="222" spans="1:3" ht="15" customHeight="1" x14ac:dyDescent="0.35">
      <c r="A222" s="186"/>
      <c r="B222" s="155"/>
      <c r="C222" s="187"/>
    </row>
    <row r="223" spans="1:3" ht="15" customHeight="1" x14ac:dyDescent="0.35">
      <c r="A223" s="186"/>
      <c r="B223" s="155"/>
      <c r="C223" s="187"/>
    </row>
    <row r="224" spans="1:3" ht="15" customHeight="1" x14ac:dyDescent="0.35">
      <c r="A224" s="186"/>
      <c r="B224" s="155"/>
      <c r="C224" s="187"/>
    </row>
    <row r="225" spans="1:3" ht="15" customHeight="1" x14ac:dyDescent="0.35">
      <c r="A225" s="186"/>
      <c r="B225" s="155"/>
      <c r="C225" s="187"/>
    </row>
    <row r="226" spans="1:3" ht="15" customHeight="1" x14ac:dyDescent="0.35">
      <c r="A226" s="186"/>
      <c r="B226" s="155"/>
      <c r="C226" s="187"/>
    </row>
    <row r="227" spans="1:3" ht="15" customHeight="1" x14ac:dyDescent="0.35">
      <c r="A227" s="186"/>
      <c r="B227" s="155"/>
      <c r="C227" s="187"/>
    </row>
    <row r="228" spans="1:3" ht="15" customHeight="1" x14ac:dyDescent="0.35">
      <c r="A228" s="186"/>
      <c r="B228" s="155"/>
      <c r="C228" s="187"/>
    </row>
    <row r="229" spans="1:3" ht="15" customHeight="1" x14ac:dyDescent="0.35">
      <c r="A229" s="186"/>
      <c r="B229" s="155"/>
      <c r="C229" s="187"/>
    </row>
    <row r="230" spans="1:3" ht="15" customHeight="1" x14ac:dyDescent="0.35">
      <c r="A230" s="186"/>
      <c r="B230" s="155"/>
      <c r="C230" s="187"/>
    </row>
    <row r="231" spans="1:3" ht="15" customHeight="1" x14ac:dyDescent="0.35">
      <c r="A231" s="186"/>
      <c r="B231" s="155"/>
      <c r="C231" s="187"/>
    </row>
    <row r="232" spans="1:3" ht="15" customHeight="1" x14ac:dyDescent="0.35">
      <c r="A232" s="186"/>
      <c r="B232" s="155"/>
      <c r="C232" s="187"/>
    </row>
    <row r="233" spans="1:3" ht="15" customHeight="1" x14ac:dyDescent="0.35">
      <c r="A233" s="186"/>
      <c r="B233" s="155"/>
      <c r="C233" s="187"/>
    </row>
    <row r="234" spans="1:3" ht="15" customHeight="1" x14ac:dyDescent="0.35">
      <c r="A234" s="186"/>
      <c r="B234" s="155"/>
      <c r="C234" s="187"/>
    </row>
    <row r="235" spans="1:3" ht="15" customHeight="1" x14ac:dyDescent="0.35">
      <c r="A235" s="186"/>
      <c r="B235" s="155"/>
      <c r="C235" s="187"/>
    </row>
    <row r="236" spans="1:3" ht="15" customHeight="1" x14ac:dyDescent="0.35">
      <c r="A236" s="186"/>
      <c r="B236" s="155"/>
      <c r="C236" s="187"/>
    </row>
    <row r="237" spans="1:3" ht="15" customHeight="1" x14ac:dyDescent="0.35">
      <c r="A237" s="186"/>
      <c r="B237" s="155"/>
      <c r="C237" s="187"/>
    </row>
    <row r="238" spans="1:3" ht="15" customHeight="1" x14ac:dyDescent="0.35">
      <c r="A238" s="186"/>
      <c r="B238" s="155"/>
      <c r="C238" s="187"/>
    </row>
    <row r="239" spans="1:3" ht="15" customHeight="1" x14ac:dyDescent="0.35">
      <c r="A239" s="186"/>
      <c r="B239" s="155"/>
      <c r="C239" s="187"/>
    </row>
    <row r="240" spans="1:3" ht="15" customHeight="1" x14ac:dyDescent="0.35">
      <c r="A240" s="186"/>
      <c r="B240" s="155"/>
      <c r="C240" s="187"/>
    </row>
    <row r="241" spans="1:3" ht="15" customHeight="1" x14ac:dyDescent="0.35">
      <c r="A241" s="186"/>
      <c r="B241" s="155"/>
      <c r="C241" s="187"/>
    </row>
    <row r="242" spans="1:3" ht="15" customHeight="1" x14ac:dyDescent="0.35">
      <c r="A242" s="186"/>
      <c r="B242" s="155"/>
      <c r="C242" s="187"/>
    </row>
    <row r="243" spans="1:3" ht="15" customHeight="1" x14ac:dyDescent="0.35">
      <c r="A243" s="186"/>
      <c r="B243" s="155"/>
      <c r="C243" s="187"/>
    </row>
    <row r="244" spans="1:3" ht="15" customHeight="1" x14ac:dyDescent="0.35">
      <c r="A244" s="186"/>
      <c r="B244" s="155"/>
      <c r="C244" s="187"/>
    </row>
    <row r="245" spans="1:3" ht="15" customHeight="1" x14ac:dyDescent="0.35">
      <c r="A245" s="186"/>
      <c r="B245" s="155"/>
      <c r="C245" s="187"/>
    </row>
    <row r="246" spans="1:3" ht="15" customHeight="1" x14ac:dyDescent="0.35">
      <c r="A246" s="186"/>
      <c r="B246" s="155"/>
      <c r="C246" s="187"/>
    </row>
    <row r="247" spans="1:3" ht="15" customHeight="1" x14ac:dyDescent="0.35">
      <c r="A247" s="186"/>
      <c r="B247" s="155"/>
      <c r="C247" s="187"/>
    </row>
    <row r="248" spans="1:3" ht="15" customHeight="1" x14ac:dyDescent="0.35">
      <c r="A248" s="186"/>
      <c r="B248" s="155"/>
      <c r="C248" s="187"/>
    </row>
    <row r="249" spans="1:3" ht="15" customHeight="1" x14ac:dyDescent="0.35">
      <c r="A249" s="186"/>
      <c r="B249" s="155"/>
      <c r="C249" s="187"/>
    </row>
    <row r="250" spans="1:3" ht="15" customHeight="1" x14ac:dyDescent="0.35">
      <c r="A250" s="186"/>
      <c r="B250" s="155"/>
      <c r="C250" s="187"/>
    </row>
    <row r="251" spans="1:3" ht="15" customHeight="1" x14ac:dyDescent="0.35">
      <c r="A251" s="186"/>
      <c r="B251" s="155"/>
      <c r="C251" s="187"/>
    </row>
    <row r="252" spans="1:3" ht="15" customHeight="1" x14ac:dyDescent="0.35">
      <c r="A252" s="186"/>
      <c r="B252" s="155"/>
      <c r="C252" s="187"/>
    </row>
    <row r="253" spans="1:3" ht="15" customHeight="1" x14ac:dyDescent="0.35">
      <c r="A253" s="186"/>
      <c r="B253" s="155"/>
      <c r="C253" s="187"/>
    </row>
    <row r="254" spans="1:3" ht="15" customHeight="1" x14ac:dyDescent="0.35">
      <c r="A254" s="186"/>
      <c r="B254" s="155"/>
      <c r="C254" s="187"/>
    </row>
    <row r="255" spans="1:3" ht="15" customHeight="1" x14ac:dyDescent="0.35">
      <c r="A255" s="186"/>
      <c r="B255" s="155"/>
      <c r="C255" s="187"/>
    </row>
    <row r="256" spans="1:3" ht="15" customHeight="1" x14ac:dyDescent="0.35">
      <c r="A256" s="186"/>
      <c r="B256" s="155"/>
      <c r="C256" s="187"/>
    </row>
    <row r="257" spans="1:3" ht="15" customHeight="1" x14ac:dyDescent="0.35">
      <c r="A257" s="186"/>
      <c r="B257" s="155"/>
      <c r="C257" s="187"/>
    </row>
    <row r="258" spans="1:3" ht="15" customHeight="1" x14ac:dyDescent="0.35">
      <c r="A258" s="186"/>
      <c r="B258" s="155"/>
      <c r="C258" s="187"/>
    </row>
    <row r="259" spans="1:3" ht="15" customHeight="1" x14ac:dyDescent="0.35">
      <c r="A259" s="186"/>
      <c r="B259" s="155"/>
      <c r="C259" s="187"/>
    </row>
    <row r="260" spans="1:3" ht="15" customHeight="1" x14ac:dyDescent="0.35">
      <c r="A260" s="186"/>
      <c r="B260" s="155"/>
      <c r="C260" s="187"/>
    </row>
    <row r="261" spans="1:3" ht="15" customHeight="1" x14ac:dyDescent="0.35">
      <c r="A261" s="186"/>
      <c r="B261" s="155"/>
      <c r="C261" s="187"/>
    </row>
    <row r="262" spans="1:3" ht="15" customHeight="1" x14ac:dyDescent="0.35">
      <c r="A262" s="186"/>
      <c r="B262" s="155"/>
      <c r="C262" s="187"/>
    </row>
    <row r="263" spans="1:3" ht="15" customHeight="1" x14ac:dyDescent="0.35">
      <c r="A263" s="186"/>
      <c r="B263" s="155"/>
      <c r="C263" s="187"/>
    </row>
    <row r="264" spans="1:3" ht="15" customHeight="1" x14ac:dyDescent="0.35">
      <c r="A264" s="186"/>
      <c r="B264" s="155"/>
      <c r="C264" s="187"/>
    </row>
    <row r="265" spans="1:3" ht="15" customHeight="1" x14ac:dyDescent="0.35">
      <c r="A265" s="186"/>
      <c r="B265" s="155"/>
      <c r="C265" s="187"/>
    </row>
    <row r="266" spans="1:3" ht="15" customHeight="1" x14ac:dyDescent="0.35">
      <c r="A266" s="186"/>
      <c r="B266" s="155"/>
      <c r="C266" s="187"/>
    </row>
    <row r="267" spans="1:3" ht="15" customHeight="1" x14ac:dyDescent="0.35">
      <c r="A267" s="186"/>
      <c r="B267" s="155"/>
      <c r="C267" s="187"/>
    </row>
    <row r="268" spans="1:3" ht="15" customHeight="1" x14ac:dyDescent="0.35">
      <c r="A268" s="186"/>
      <c r="B268" s="155"/>
      <c r="C268" s="187"/>
    </row>
    <row r="269" spans="1:3" ht="15" customHeight="1" x14ac:dyDescent="0.35">
      <c r="A269" s="186"/>
      <c r="B269" s="155"/>
      <c r="C269" s="187"/>
    </row>
    <row r="270" spans="1:3" ht="15" customHeight="1" x14ac:dyDescent="0.35">
      <c r="A270" s="186"/>
      <c r="B270" s="155"/>
      <c r="C270" s="187"/>
    </row>
    <row r="271" spans="1:3" ht="15" customHeight="1" x14ac:dyDescent="0.35">
      <c r="A271" s="186"/>
      <c r="B271" s="155"/>
      <c r="C271" s="187"/>
    </row>
    <row r="272" spans="1:3" ht="15" customHeight="1" x14ac:dyDescent="0.35">
      <c r="A272" s="186"/>
      <c r="B272" s="155"/>
      <c r="C272" s="187"/>
    </row>
    <row r="273" spans="1:3" ht="15" customHeight="1" x14ac:dyDescent="0.35">
      <c r="A273" s="186"/>
      <c r="B273" s="155"/>
      <c r="C273" s="187"/>
    </row>
    <row r="274" spans="1:3" ht="15" customHeight="1" x14ac:dyDescent="0.35">
      <c r="A274" s="186"/>
      <c r="B274" s="155"/>
      <c r="C274" s="187"/>
    </row>
    <row r="275" spans="1:3" ht="15" customHeight="1" x14ac:dyDescent="0.35">
      <c r="A275" s="186"/>
      <c r="B275" s="155"/>
      <c r="C275" s="187"/>
    </row>
    <row r="276" spans="1:3" ht="15" customHeight="1" x14ac:dyDescent="0.35">
      <c r="A276" s="186"/>
      <c r="B276" s="155"/>
      <c r="C276" s="187"/>
    </row>
    <row r="277" spans="1:3" ht="15" customHeight="1" x14ac:dyDescent="0.35">
      <c r="A277" s="186"/>
      <c r="B277" s="155"/>
      <c r="C277" s="187"/>
    </row>
    <row r="278" spans="1:3" ht="15" customHeight="1" x14ac:dyDescent="0.35">
      <c r="A278" s="186"/>
      <c r="B278" s="155"/>
      <c r="C278" s="187"/>
    </row>
    <row r="279" spans="1:3" ht="15" customHeight="1" x14ac:dyDescent="0.35">
      <c r="A279" s="186"/>
      <c r="B279" s="155"/>
      <c r="C279" s="187"/>
    </row>
    <row r="280" spans="1:3" ht="15" customHeight="1" x14ac:dyDescent="0.35">
      <c r="A280" s="186"/>
      <c r="B280" s="155"/>
      <c r="C280" s="187"/>
    </row>
    <row r="281" spans="1:3" ht="15" customHeight="1" x14ac:dyDescent="0.35">
      <c r="A281" s="186"/>
      <c r="B281" s="155"/>
      <c r="C281" s="187"/>
    </row>
    <row r="282" spans="1:3" ht="15" customHeight="1" x14ac:dyDescent="0.35">
      <c r="A282" s="186"/>
      <c r="B282" s="155"/>
      <c r="C282" s="187"/>
    </row>
    <row r="283" spans="1:3" ht="15" customHeight="1" x14ac:dyDescent="0.35">
      <c r="A283" s="186"/>
      <c r="B283" s="155"/>
      <c r="C283" s="187"/>
    </row>
    <row r="284" spans="1:3" ht="15" customHeight="1" x14ac:dyDescent="0.35">
      <c r="A284" s="186"/>
      <c r="B284" s="155"/>
      <c r="C284" s="187"/>
    </row>
    <row r="285" spans="1:3" ht="15" customHeight="1" x14ac:dyDescent="0.35">
      <c r="A285" s="186"/>
      <c r="B285" s="155"/>
      <c r="C285" s="187"/>
    </row>
    <row r="286" spans="1:3" ht="15" customHeight="1" x14ac:dyDescent="0.35">
      <c r="A286" s="186"/>
      <c r="B286" s="155"/>
      <c r="C286" s="187"/>
    </row>
    <row r="287" spans="1:3" ht="15" customHeight="1" x14ac:dyDescent="0.35">
      <c r="A287" s="186"/>
      <c r="B287" s="155"/>
      <c r="C287" s="187"/>
    </row>
    <row r="288" spans="1:3" ht="15" customHeight="1" x14ac:dyDescent="0.35">
      <c r="A288" s="186"/>
      <c r="B288" s="155"/>
      <c r="C288" s="187"/>
    </row>
    <row r="289" spans="1:3" ht="15" customHeight="1" x14ac:dyDescent="0.35">
      <c r="A289" s="186"/>
      <c r="B289" s="155"/>
      <c r="C289" s="187"/>
    </row>
    <row r="290" spans="1:3" ht="15" customHeight="1" x14ac:dyDescent="0.35">
      <c r="A290" s="186"/>
      <c r="B290" s="155"/>
      <c r="C290" s="187"/>
    </row>
    <row r="291" spans="1:3" ht="15" customHeight="1" x14ac:dyDescent="0.35">
      <c r="A291" s="186"/>
      <c r="B291" s="155"/>
      <c r="C291" s="187"/>
    </row>
    <row r="292" spans="1:3" ht="15" customHeight="1" x14ac:dyDescent="0.35">
      <c r="A292" s="186"/>
      <c r="B292" s="155"/>
      <c r="C292" s="187"/>
    </row>
    <row r="293" spans="1:3" ht="15" customHeight="1" x14ac:dyDescent="0.35">
      <c r="A293" s="186"/>
      <c r="B293" s="155"/>
      <c r="C293" s="187"/>
    </row>
    <row r="294" spans="1:3" ht="15" customHeight="1" x14ac:dyDescent="0.35">
      <c r="A294" s="186"/>
      <c r="B294" s="155"/>
      <c r="C294" s="187"/>
    </row>
    <row r="295" spans="1:3" ht="15" customHeight="1" x14ac:dyDescent="0.35">
      <c r="A295" s="186"/>
      <c r="B295" s="155"/>
      <c r="C295" s="187"/>
    </row>
    <row r="296" spans="1:3" ht="15" customHeight="1" x14ac:dyDescent="0.35">
      <c r="A296" s="186"/>
      <c r="B296" s="155"/>
      <c r="C296" s="187"/>
    </row>
    <row r="297" spans="1:3" ht="15" customHeight="1" x14ac:dyDescent="0.35">
      <c r="A297" s="186"/>
      <c r="B297" s="155"/>
      <c r="C297" s="187"/>
    </row>
    <row r="298" spans="1:3" ht="15" customHeight="1" x14ac:dyDescent="0.35">
      <c r="A298" s="186"/>
      <c r="B298" s="155"/>
      <c r="C298" s="187"/>
    </row>
    <row r="299" spans="1:3" ht="15" customHeight="1" x14ac:dyDescent="0.35">
      <c r="A299" s="186"/>
      <c r="B299" s="155"/>
      <c r="C299" s="18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1F4EE-D5E6-4E59-91B0-A810607A9814}">
  <sheetPr codeName="Sheet35">
    <tabColor rgb="FF002060"/>
  </sheetPr>
  <dimension ref="A1:I24"/>
  <sheetViews>
    <sheetView workbookViewId="0">
      <pane ySplit="2" topLeftCell="A3" activePane="bottomLeft" state="frozen"/>
      <selection pane="bottomLeft" activeCell="L9" sqref="L9"/>
    </sheetView>
  </sheetViews>
  <sheetFormatPr defaultColWidth="9.08984375" defaultRowHeight="15" customHeight="1" x14ac:dyDescent="0.35"/>
  <cols>
    <col min="1" max="1" width="17.816406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>
        <f>IFERROR(_xlfn.XLOOKUP(A2,'QA WK1'!A:A,'QA WK1'!I:I),"")</f>
        <v>0.63759999999999994</v>
      </c>
      <c r="C2" s="94">
        <f>IFERROR(_xlfn.XLOOKUP(A2,'ME0025 WK1'!A:A,'ME0025 WK1'!J:J),"")</f>
        <v>4.53</v>
      </c>
      <c r="D2" s="120">
        <f t="shared" ref="D2:D15" si="0">IFERROR(C2/$C$23,"")</f>
        <v>1.393846153846154</v>
      </c>
      <c r="E2" s="116">
        <f>IFERROR(_xlfn.XLOOKUP(A2,'ME0025 WK1'!A:A,'ME0025 WK1'!F:F),"")</f>
        <v>0.94</v>
      </c>
      <c r="F2" s="95">
        <f>IF(B2="","",IF(AND(B2&lt;100%,B2&gt;90%),3,IF(AND(B2&lt;90%,B2&gt;80%),2,0)))</f>
        <v>0</v>
      </c>
      <c r="G2" s="95">
        <f>IF(C2="","",IF(AND(D2&gt;=115%),3,IF(AND(D2&lt;115%,D2&gt;=105%),2,IF(AND(D2&lt;105%,C2&gt;=95%),1,0))))</f>
        <v>3</v>
      </c>
      <c r="H2" s="95">
        <f>IF(ISBLANK(E2),"",IF(AND(E2&lt;1,E2&gt;0.8999),3,IF(AND(E2&lt;0.9,E2&gt;0.8499),2,0)))</f>
        <v>3</v>
      </c>
      <c r="I2" s="96">
        <f t="shared" ref="I2" si="1">SUM(F2:H2)</f>
        <v>6</v>
      </c>
    </row>
    <row r="3" spans="1:9" ht="15" customHeight="1" x14ac:dyDescent="0.35">
      <c r="A3" s="93" t="str">
        <f>IF(ISBLANK(Roster!A3),"",Roster!A3)</f>
        <v>Beatriz Alvarado</v>
      </c>
      <c r="B3" s="115">
        <f>IFERROR(_xlfn.XLOOKUP(A3,'QA WK1'!A:A,'QA WK1'!I:I),"")</f>
        <v>0.85970000000000002</v>
      </c>
      <c r="C3" s="94">
        <f>IFERROR(_xlfn.XLOOKUP(A3,'ME0025 WK1'!A:A,'ME0025 WK1'!J:J),"")</f>
        <v>3.35</v>
      </c>
      <c r="D3" s="120">
        <f t="shared" si="0"/>
        <v>1.0307692307692309</v>
      </c>
      <c r="E3" s="116">
        <f>IFERROR(_xlfn.XLOOKUP(A3,'ME0025 WK1'!A:A,'ME0025 WK1'!F:F),"")</f>
        <v>0.93700000000000006</v>
      </c>
      <c r="F3" s="95">
        <f t="shared" ref="F3:F22" si="2">IF(B3="","",IF(AND(B3&lt;100%,B3&gt;90%),3,IF(AND(B3&lt;90%,B3&gt;80%),2,0)))</f>
        <v>2</v>
      </c>
      <c r="G3" s="95">
        <f t="shared" ref="G3:G22" si="3">IF(C3="","",IF(AND(D3&gt;=115%),3,IF(AND(D3&lt;115%,D3&gt;=105%),2,IF(AND(D3&lt;105%,C3&gt;=95%),1,0))))</f>
        <v>1</v>
      </c>
      <c r="H3" s="95">
        <f t="shared" ref="H3:H22" si="4">IF(ISBLANK(E3),"",IF(AND(E3&lt;1,E3&gt;0.8999),3,IF(AND(E3&lt;0.9,E3&gt;0.8499),2,0)))</f>
        <v>3</v>
      </c>
      <c r="I3" s="96">
        <f t="shared" ref="I3:I22" si="5">SUM(F3:H3)</f>
        <v>6</v>
      </c>
    </row>
    <row r="4" spans="1:9" ht="15" customHeight="1" x14ac:dyDescent="0.35">
      <c r="A4" s="93" t="str">
        <f>IF(ISBLANK(Roster!A4),"",Roster!A4)</f>
        <v>Rachel Garcia</v>
      </c>
      <c r="B4" s="115">
        <f>IFERROR(_xlfn.XLOOKUP(A4,'QA WK1'!A:A,'QA WK1'!I:I),"")</f>
        <v>0.66700000000000004</v>
      </c>
      <c r="C4" s="94">
        <f>IFERROR(_xlfn.XLOOKUP(A4,'ME0025 WK1'!A:A,'ME0025 WK1'!J:J),"")</f>
        <v>3.72</v>
      </c>
      <c r="D4" s="120">
        <f t="shared" si="0"/>
        <v>1.1446153846153846</v>
      </c>
      <c r="E4" s="116">
        <f>IFERROR(_xlfn.XLOOKUP(A4,'ME0025 WK1'!A:A,'ME0025 WK1'!F:F),"")</f>
        <v>0.95299999999999996</v>
      </c>
      <c r="F4" s="95">
        <f t="shared" si="2"/>
        <v>0</v>
      </c>
      <c r="G4" s="95">
        <f t="shared" si="3"/>
        <v>2</v>
      </c>
      <c r="H4" s="95">
        <f t="shared" si="4"/>
        <v>3</v>
      </c>
      <c r="I4" s="96">
        <f t="shared" si="5"/>
        <v>5</v>
      </c>
    </row>
    <row r="5" spans="1:9" ht="15" customHeight="1" x14ac:dyDescent="0.35">
      <c r="A5" s="93" t="str">
        <f>IF(ISBLANK(Roster!A5),"",Roster!A5)</f>
        <v>Samantha Walker</v>
      </c>
      <c r="B5" s="115">
        <f>IFERROR(_xlfn.XLOOKUP(A5,'QA WK1'!A:A,'QA WK1'!I:I),"")</f>
        <v>0.89649999999999996</v>
      </c>
      <c r="C5" s="94">
        <f>IFERROR(_xlfn.XLOOKUP(A5,'ME0025 WK1'!A:A,'ME0025 WK1'!J:J),"")</f>
        <v>2.73</v>
      </c>
      <c r="D5" s="120">
        <f t="shared" si="0"/>
        <v>0.84</v>
      </c>
      <c r="E5" s="116">
        <f>IFERROR(_xlfn.XLOOKUP(A5,'ME0025 WK1'!A:A,'ME0025 WK1'!F:F),"")</f>
        <v>0.92</v>
      </c>
      <c r="F5" s="95">
        <f t="shared" si="2"/>
        <v>2</v>
      </c>
      <c r="G5" s="95">
        <f t="shared" si="3"/>
        <v>1</v>
      </c>
      <c r="H5" s="95">
        <f t="shared" si="4"/>
        <v>3</v>
      </c>
      <c r="I5" s="96">
        <f t="shared" si="5"/>
        <v>6</v>
      </c>
    </row>
    <row r="6" spans="1:9" ht="15" customHeight="1" x14ac:dyDescent="0.35">
      <c r="A6" s="93" t="str">
        <f>IF(ISBLANK(Roster!A6),"",Roster!A6)</f>
        <v>Lauren Morgan</v>
      </c>
      <c r="B6" s="115">
        <f>IFERROR(_xlfn.XLOOKUP(A6,'QA WK1'!A:A,'QA WK1'!I:I),"")</f>
        <v>0.86639999999999995</v>
      </c>
      <c r="C6" s="94">
        <f>IFERROR(_xlfn.XLOOKUP(A6,'ME0025 WK1'!A:A,'ME0025 WK1'!J:J),"")</f>
        <v>2.2400000000000002</v>
      </c>
      <c r="D6" s="120">
        <f t="shared" si="0"/>
        <v>0.68923076923076931</v>
      </c>
      <c r="E6" s="116">
        <f>IFERROR(_xlfn.XLOOKUP(A6,'ME0025 WK1'!A:A,'ME0025 WK1'!F:F),"")</f>
        <v>0.94</v>
      </c>
      <c r="F6" s="95">
        <f t="shared" si="2"/>
        <v>2</v>
      </c>
      <c r="G6" s="95">
        <f t="shared" si="3"/>
        <v>1</v>
      </c>
      <c r="H6" s="95">
        <f t="shared" si="4"/>
        <v>3</v>
      </c>
      <c r="I6" s="96">
        <f t="shared" si="5"/>
        <v>6</v>
      </c>
    </row>
    <row r="7" spans="1:9" ht="15" customHeight="1" x14ac:dyDescent="0.35">
      <c r="A7" s="93" t="str">
        <f>IF(ISBLANK(Roster!A7),"",Roster!A7)</f>
        <v>Yazli Yerena</v>
      </c>
      <c r="B7" s="115">
        <f>IFERROR(_xlfn.XLOOKUP(A7,'QA WK1'!A:A,'QA WK1'!I:I),"")</f>
        <v>0.6421</v>
      </c>
      <c r="C7" s="94">
        <f>IFERROR(_xlfn.XLOOKUP(A7,'ME0025 WK1'!A:A,'ME0025 WK1'!J:J),"")</f>
        <v>3.81</v>
      </c>
      <c r="D7" s="120">
        <f t="shared" si="0"/>
        <v>1.1723076923076923</v>
      </c>
      <c r="E7" s="116">
        <f>IFERROR(_xlfn.XLOOKUP(A7,'ME0025 WK1'!A:A,'ME0025 WK1'!F:F),"")</f>
        <v>0.95</v>
      </c>
      <c r="F7" s="95">
        <f t="shared" si="2"/>
        <v>0</v>
      </c>
      <c r="G7" s="95">
        <f t="shared" si="3"/>
        <v>3</v>
      </c>
      <c r="H7" s="95">
        <f t="shared" si="4"/>
        <v>3</v>
      </c>
      <c r="I7" s="96">
        <f t="shared" si="5"/>
        <v>6</v>
      </c>
    </row>
    <row r="8" spans="1:9" ht="15" customHeight="1" x14ac:dyDescent="0.35">
      <c r="A8" s="93" t="str">
        <f>IF(ISBLANK(Roster!A8),"",Roster!A8)</f>
        <v>Erin Underwood</v>
      </c>
      <c r="B8" s="115">
        <f>IFERROR(_xlfn.XLOOKUP(A8,'QA WK1'!A:A,'QA WK1'!I:I),"")</f>
        <v>0.85419999999999996</v>
      </c>
      <c r="C8" s="94">
        <f>IFERROR(_xlfn.XLOOKUP(A8,'ME0025 WK1'!A:A,'ME0025 WK1'!J:J),"")</f>
        <v>2.6</v>
      </c>
      <c r="D8" s="120">
        <f t="shared" si="0"/>
        <v>0.8</v>
      </c>
      <c r="E8" s="116">
        <f>IFERROR(_xlfn.XLOOKUP(A8,'ME0025 WK1'!A:A,'ME0025 WK1'!F:F),"")</f>
        <v>0.93899999999999995</v>
      </c>
      <c r="F8" s="95">
        <f t="shared" si="2"/>
        <v>2</v>
      </c>
      <c r="G8" s="95">
        <f t="shared" si="3"/>
        <v>1</v>
      </c>
      <c r="H8" s="95">
        <f t="shared" si="4"/>
        <v>3</v>
      </c>
      <c r="I8" s="96">
        <f t="shared" si="5"/>
        <v>6</v>
      </c>
    </row>
    <row r="9" spans="1:9" ht="15" customHeight="1" x14ac:dyDescent="0.35">
      <c r="A9" s="93" t="str">
        <f>IF(ISBLANK(Roster!A9),"",Roster!A9)</f>
        <v>Yvonne Barbee</v>
      </c>
      <c r="B9" s="115">
        <f>IFERROR(_xlfn.XLOOKUP(A9,'QA WK1'!A:A,'QA WK1'!I:I),"")</f>
        <v>0.86699999999999999</v>
      </c>
      <c r="C9" s="94">
        <f>IFERROR(_xlfn.XLOOKUP(A9,'ME0025 WK1'!A:A,'ME0025 WK1'!J:J),"")</f>
        <v>3.24</v>
      </c>
      <c r="D9" s="120">
        <f t="shared" si="0"/>
        <v>0.99692307692307702</v>
      </c>
      <c r="E9" s="116">
        <f>IFERROR(_xlfn.XLOOKUP(A9,'ME0025 WK1'!A:A,'ME0025 WK1'!F:F),"")</f>
        <v>0.93500000000000005</v>
      </c>
      <c r="F9" s="95">
        <f t="shared" si="2"/>
        <v>2</v>
      </c>
      <c r="G9" s="95">
        <f t="shared" si="3"/>
        <v>1</v>
      </c>
      <c r="H9" s="95">
        <f t="shared" si="4"/>
        <v>3</v>
      </c>
      <c r="I9" s="96">
        <f t="shared" si="5"/>
        <v>6</v>
      </c>
    </row>
    <row r="10" spans="1:9" ht="15" customHeight="1" x14ac:dyDescent="0.35">
      <c r="A10" s="93" t="str">
        <f>IF(ISBLANK(Roster!A10),"",Roster!A10)</f>
        <v>Heather Cash</v>
      </c>
      <c r="B10" s="115">
        <f>IFERROR(_xlfn.XLOOKUP(A10,'QA WK1'!A:A,'QA WK1'!I:I),"")</f>
        <v>0.88460000000000005</v>
      </c>
      <c r="C10" s="94">
        <f>IFERROR(_xlfn.XLOOKUP(A10,'ME0025 WK1'!A:A,'ME0025 WK1'!J:J),"")</f>
        <v>2.76</v>
      </c>
      <c r="D10" s="120">
        <f t="shared" si="0"/>
        <v>0.84923076923076912</v>
      </c>
      <c r="E10" s="116">
        <f>IFERROR(_xlfn.XLOOKUP(A10,'ME0025 WK1'!A:A,'ME0025 WK1'!F:F),"")</f>
        <v>0.89300000000000002</v>
      </c>
      <c r="F10" s="95">
        <f t="shared" si="2"/>
        <v>2</v>
      </c>
      <c r="G10" s="95">
        <f t="shared" si="3"/>
        <v>1</v>
      </c>
      <c r="H10" s="95">
        <f t="shared" si="4"/>
        <v>2</v>
      </c>
      <c r="I10" s="96">
        <f t="shared" si="5"/>
        <v>5</v>
      </c>
    </row>
    <row r="11" spans="1:9" ht="15" customHeight="1" x14ac:dyDescent="0.35">
      <c r="A11" s="93" t="str">
        <f>IF(ISBLANK(Roster!A11),"",Roster!A11)</f>
        <v>Janice Winston</v>
      </c>
      <c r="B11" s="115">
        <f>IFERROR(_xlfn.XLOOKUP(A11,'QA WK1'!A:A,'QA WK1'!I:I),"")</f>
        <v>0.87250000000000005</v>
      </c>
      <c r="C11" s="94">
        <f>IFERROR(_xlfn.XLOOKUP(A11,'ME0025 WK1'!A:A,'ME0025 WK1'!J:J),"")</f>
        <v>2.34</v>
      </c>
      <c r="D11" s="120">
        <f t="shared" si="0"/>
        <v>0.72</v>
      </c>
      <c r="E11" s="116">
        <f>IFERROR(_xlfn.XLOOKUP(A11,'ME0025 WK1'!A:A,'ME0025 WK1'!F:F),"")</f>
        <v>0.93799999999999994</v>
      </c>
      <c r="F11" s="95">
        <f t="shared" si="2"/>
        <v>2</v>
      </c>
      <c r="G11" s="95">
        <f t="shared" si="3"/>
        <v>1</v>
      </c>
      <c r="H11" s="95">
        <f t="shared" si="4"/>
        <v>3</v>
      </c>
      <c r="I11" s="96">
        <f t="shared" si="5"/>
        <v>6</v>
      </c>
    </row>
    <row r="12" spans="1:9" ht="15" customHeight="1" x14ac:dyDescent="0.35">
      <c r="A12" s="93" t="str">
        <f>IF(ISBLANK(Roster!A12),"",Roster!A12)</f>
        <v>Antavian Taylor</v>
      </c>
      <c r="B12" s="115">
        <f>IFERROR(_xlfn.XLOOKUP(A12,'QA WK1'!A:A,'QA WK1'!I:I),"")</f>
        <v>0.86619999999999997</v>
      </c>
      <c r="C12" s="94">
        <f>IFERROR(_xlfn.XLOOKUP(A12,'ME0025 WK1'!A:A,'ME0025 WK1'!J:J),"")</f>
        <v>2.73</v>
      </c>
      <c r="D12" s="120">
        <f t="shared" si="0"/>
        <v>0.84</v>
      </c>
      <c r="E12" s="116">
        <f>IFERROR(_xlfn.XLOOKUP(A12,'ME0025 WK1'!A:A,'ME0025 WK1'!F:F),"")</f>
        <v>0.92400000000000004</v>
      </c>
      <c r="F12" s="95">
        <f t="shared" si="2"/>
        <v>2</v>
      </c>
      <c r="G12" s="95">
        <f t="shared" si="3"/>
        <v>1</v>
      </c>
      <c r="H12" s="95">
        <f t="shared" si="4"/>
        <v>3</v>
      </c>
      <c r="I12" s="96">
        <f t="shared" si="5"/>
        <v>6</v>
      </c>
    </row>
    <row r="13" spans="1:9" ht="15" customHeight="1" x14ac:dyDescent="0.35">
      <c r="A13" s="93" t="str">
        <f>IF(ISBLANK(Roster!A13),"",Roster!A13)</f>
        <v>Charlincia Montgomery</v>
      </c>
      <c r="B13" s="115">
        <f>IFERROR(_xlfn.XLOOKUP(A13,'QA WK1'!A:A,'QA WK1'!I:I),"")</f>
        <v>0.87590000000000001</v>
      </c>
      <c r="C13" s="94">
        <f>IFERROR(_xlfn.XLOOKUP(A13,'ME0025 WK1'!A:A,'ME0025 WK1'!J:J),"")</f>
        <v>2.89</v>
      </c>
      <c r="D13" s="120">
        <f t="shared" si="0"/>
        <v>0.88923076923076927</v>
      </c>
      <c r="E13" s="116">
        <f>IFERROR(_xlfn.XLOOKUP(A13,'ME0025 WK1'!A:A,'ME0025 WK1'!F:F),"")</f>
        <v>0.92200000000000004</v>
      </c>
      <c r="F13" s="95">
        <f t="shared" si="2"/>
        <v>2</v>
      </c>
      <c r="G13" s="95">
        <f t="shared" si="3"/>
        <v>1</v>
      </c>
      <c r="H13" s="95">
        <f t="shared" si="4"/>
        <v>3</v>
      </c>
      <c r="I13" s="96">
        <f t="shared" si="5"/>
        <v>6</v>
      </c>
    </row>
    <row r="14" spans="1:9" ht="15" customHeight="1" x14ac:dyDescent="0.35">
      <c r="A14" s="93" t="str">
        <f>IF(ISBLANK(Roster!A14),"",Roster!A14)</f>
        <v>Kiarra Grandison</v>
      </c>
      <c r="B14" s="115">
        <f>IFERROR(_xlfn.XLOOKUP(A14,'QA WK1'!A:A,'QA WK1'!I:I),"")</f>
        <v>0.88170000000000004</v>
      </c>
      <c r="C14" s="94">
        <f>IFERROR(_xlfn.XLOOKUP(A14,'ME0025 WK1'!A:A,'ME0025 WK1'!J:J),"")</f>
        <v>3.43</v>
      </c>
      <c r="D14" s="120">
        <f t="shared" si="0"/>
        <v>1.0553846153846154</v>
      </c>
      <c r="E14" s="116">
        <f>IFERROR(_xlfn.XLOOKUP(A14,'ME0025 WK1'!A:A,'ME0025 WK1'!F:F),"")</f>
        <v>0.91</v>
      </c>
      <c r="F14" s="95">
        <f t="shared" si="2"/>
        <v>2</v>
      </c>
      <c r="G14" s="95">
        <f t="shared" si="3"/>
        <v>2</v>
      </c>
      <c r="H14" s="95">
        <f t="shared" si="4"/>
        <v>3</v>
      </c>
      <c r="I14" s="96">
        <f t="shared" si="5"/>
        <v>7</v>
      </c>
    </row>
    <row r="15" spans="1:9" ht="15" customHeight="1" x14ac:dyDescent="0.35">
      <c r="A15" s="93" t="str">
        <f>IF(ISBLANK(Roster!A15),"",Roster!A15)</f>
        <v>Keysanah Baldwin</v>
      </c>
      <c r="B15" s="115">
        <f>IFERROR(_xlfn.XLOOKUP(A15,'QA WK1'!A:A,'QA WK1'!I:I),"")</f>
        <v>0.8528</v>
      </c>
      <c r="C15" s="94">
        <f>IFERROR(_xlfn.XLOOKUP(A15,'ME0025 WK1'!A:A,'ME0025 WK1'!J:J),"")</f>
        <v>2.3199999999999998</v>
      </c>
      <c r="D15" s="120">
        <f t="shared" si="0"/>
        <v>0.7138461538461538</v>
      </c>
      <c r="E15" s="116">
        <f>IFERROR(_xlfn.XLOOKUP(A15,'ME0025 WK1'!A:A,'ME0025 WK1'!F:F),"")</f>
        <v>0.90600000000000003</v>
      </c>
      <c r="F15" s="95">
        <f t="shared" si="2"/>
        <v>2</v>
      </c>
      <c r="G15" s="95">
        <f t="shared" si="3"/>
        <v>1</v>
      </c>
      <c r="H15" s="95">
        <f t="shared" si="4"/>
        <v>3</v>
      </c>
      <c r="I15" s="96">
        <f t="shared" si="5"/>
        <v>6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WK1'!A:A,'QA WK1'!I:I),"")</f>
        <v/>
      </c>
      <c r="C16" s="94" t="str">
        <f>IFERROR(_xlfn.XLOOKUP(A16,'ME0025 WK1'!A:A,'ME0025 WK1'!J:J),"")</f>
        <v/>
      </c>
      <c r="D16" s="120" t="str">
        <f t="shared" ref="D3:D22" si="6">IFERROR(C16/$C$23,"")</f>
        <v/>
      </c>
      <c r="E16" s="116" t="str">
        <f>IFERROR(_xlfn.XLOOKUP(A16,'ME0025 WK1'!A:A,'ME0025 WK1'!F:F),"")</f>
        <v/>
      </c>
      <c r="F16" s="95" t="str">
        <f t="shared" si="2"/>
        <v/>
      </c>
      <c r="G16" s="95" t="str">
        <f t="shared" si="3"/>
        <v/>
      </c>
      <c r="H16" s="95">
        <f t="shared" si="4"/>
        <v>0</v>
      </c>
      <c r="I16" s="96">
        <f t="shared" si="5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WK1'!A:A,'QA WK1'!I:I),"")</f>
        <v/>
      </c>
      <c r="C17" s="94" t="str">
        <f>IFERROR(_xlfn.XLOOKUP(A17,'ME0025 WK1'!A:A,'ME0025 WK1'!J:J),"")</f>
        <v/>
      </c>
      <c r="D17" s="120" t="str">
        <f t="shared" si="6"/>
        <v/>
      </c>
      <c r="E17" s="116" t="str">
        <f>IFERROR(_xlfn.XLOOKUP(A17,'ME0025 WK1'!A:A,'ME0025 WK1'!F:F),"")</f>
        <v/>
      </c>
      <c r="F17" s="95" t="str">
        <f t="shared" si="2"/>
        <v/>
      </c>
      <c r="G17" s="95" t="str">
        <f t="shared" si="3"/>
        <v/>
      </c>
      <c r="H17" s="95">
        <f t="shared" si="4"/>
        <v>0</v>
      </c>
      <c r="I17" s="96">
        <f t="shared" si="5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WK1'!A:A,'QA WK1'!I:I),"")</f>
        <v/>
      </c>
      <c r="C18" s="94" t="str">
        <f>IFERROR(_xlfn.XLOOKUP(A18,'ME0025 WK1'!A:A,'ME0025 WK1'!J:J),"")</f>
        <v/>
      </c>
      <c r="D18" s="120" t="str">
        <f t="shared" si="6"/>
        <v/>
      </c>
      <c r="E18" s="116" t="str">
        <f>IFERROR(_xlfn.XLOOKUP(A18,'ME0025 WK1'!A:A,'ME0025 WK1'!F:F),"")</f>
        <v/>
      </c>
      <c r="F18" s="95" t="str">
        <f t="shared" si="2"/>
        <v/>
      </c>
      <c r="G18" s="95" t="str">
        <f t="shared" si="3"/>
        <v/>
      </c>
      <c r="H18" s="95">
        <f t="shared" si="4"/>
        <v>0</v>
      </c>
      <c r="I18" s="96">
        <f t="shared" si="5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WK1'!A:A,'QA WK1'!I:I),"")</f>
        <v/>
      </c>
      <c r="C19" s="94" t="str">
        <f>IFERROR(_xlfn.XLOOKUP(A19,'ME0025 WK1'!A:A,'ME0025 WK1'!J:J),"")</f>
        <v/>
      </c>
      <c r="D19" s="120" t="str">
        <f t="shared" si="6"/>
        <v/>
      </c>
      <c r="E19" s="116" t="str">
        <f>IFERROR(_xlfn.XLOOKUP(A19,'ME0025 WK1'!A:A,'ME0025 WK1'!F:F),"")</f>
        <v/>
      </c>
      <c r="F19" s="95" t="str">
        <f t="shared" si="2"/>
        <v/>
      </c>
      <c r="G19" s="95" t="str">
        <f t="shared" si="3"/>
        <v/>
      </c>
      <c r="H19" s="95">
        <f t="shared" si="4"/>
        <v>0</v>
      </c>
      <c r="I19" s="96">
        <f t="shared" si="5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WK1'!A:A,'QA WK1'!I:I),"")</f>
        <v/>
      </c>
      <c r="C20" s="94" t="str">
        <f>IFERROR(_xlfn.XLOOKUP(A20,'ME0025 WK1'!A:A,'ME0025 WK1'!J:J),"")</f>
        <v/>
      </c>
      <c r="D20" s="120" t="str">
        <f t="shared" si="6"/>
        <v/>
      </c>
      <c r="E20" s="116" t="str">
        <f>IFERROR(_xlfn.XLOOKUP(A20,'ME0025 WK1'!A:A,'ME0025 WK1'!F:F),"")</f>
        <v/>
      </c>
      <c r="F20" s="95" t="str">
        <f t="shared" si="2"/>
        <v/>
      </c>
      <c r="G20" s="95" t="str">
        <f t="shared" si="3"/>
        <v/>
      </c>
      <c r="H20" s="95">
        <f t="shared" si="4"/>
        <v>0</v>
      </c>
      <c r="I20" s="96">
        <f t="shared" si="5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WK1'!A:A,'QA WK1'!I:I),"")</f>
        <v/>
      </c>
      <c r="C21" s="94" t="str">
        <f>IFERROR(_xlfn.XLOOKUP(A21,'ME0025 WK1'!A:A,'ME0025 WK1'!J:J),"")</f>
        <v/>
      </c>
      <c r="D21" s="120" t="str">
        <f t="shared" si="6"/>
        <v/>
      </c>
      <c r="E21" s="116" t="str">
        <f>IFERROR(_xlfn.XLOOKUP(A21,'ME0025 WK1'!A:A,'ME0025 WK1'!F:F),"")</f>
        <v/>
      </c>
      <c r="F21" s="95" t="str">
        <f t="shared" si="2"/>
        <v/>
      </c>
      <c r="G21" s="95" t="str">
        <f t="shared" si="3"/>
        <v/>
      </c>
      <c r="H21" s="95">
        <f t="shared" si="4"/>
        <v>0</v>
      </c>
      <c r="I21" s="96">
        <f t="shared" si="5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WK1'!A:A,'QA WK1'!I:I),"")</f>
        <v/>
      </c>
      <c r="C22" s="94" t="str">
        <f>IFERROR(_xlfn.XLOOKUP(A22,'ME0025 WK1'!A:A,'ME0025 WK1'!J:J),"")</f>
        <v/>
      </c>
      <c r="D22" s="120" t="str">
        <f t="shared" si="6"/>
        <v/>
      </c>
      <c r="E22" s="116" t="str">
        <f>IFERROR(_xlfn.XLOOKUP(A22,'ME0025 WK1'!A:A,'ME0025 WK1'!F:F),"")</f>
        <v/>
      </c>
      <c r="F22" s="95" t="str">
        <f t="shared" si="2"/>
        <v/>
      </c>
      <c r="G22" s="95" t="str">
        <f t="shared" si="3"/>
        <v/>
      </c>
      <c r="H22" s="95">
        <f t="shared" si="4"/>
        <v>0</v>
      </c>
      <c r="I22" s="96">
        <f t="shared" si="5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22</v>
      </c>
      <c r="G23" s="43">
        <f>SUM(G3:G22)</f>
        <v>17</v>
      </c>
      <c r="H23" s="43">
        <f>SUM(H3:H22)</f>
        <v>38</v>
      </c>
      <c r="I23" s="44">
        <f>SUM(I2:I22)</f>
        <v>83</v>
      </c>
    </row>
    <row r="24" spans="1:9" ht="15" customHeight="1" thickTop="1" x14ac:dyDescent="0.35"/>
  </sheetData>
  <sheetProtection algorithmName="SHA-512" hashValue="VARdXkRPye0EhS//koXAHCSiNm/TGurFG34f194BjxtGVJupgBCnilW1aMduNucUa/ZbO4IIPzkvbQiq3LC//Q==" saltValue="R4kLcVHOUbmxyxujl7c6WA==" spinCount="100000" sheet="1" objects="1" scenarios="1"/>
  <mergeCells count="2">
    <mergeCell ref="D23:E23"/>
    <mergeCell ref="A23:B2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2B788-4668-49CC-A3A6-B308C29F76A5}">
  <sheetPr codeName="Sheet1">
    <tabColor rgb="FF002060"/>
  </sheetPr>
  <dimension ref="A1:I30"/>
  <sheetViews>
    <sheetView workbookViewId="0">
      <selection activeCell="D17" sqref="D1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11" t="s">
        <v>54</v>
      </c>
      <c r="F1" s="111" t="s">
        <v>55</v>
      </c>
      <c r="G1" s="111" t="s">
        <v>56</v>
      </c>
      <c r="H1" s="111" t="s">
        <v>57</v>
      </c>
      <c r="I1" s="111" t="s">
        <v>58</v>
      </c>
    </row>
    <row r="2" spans="1:9" x14ac:dyDescent="0.35">
      <c r="A2" s="204" t="str">
        <f>[1]Sheet1!B122</f>
        <v>Alicia Martinez Romero</v>
      </c>
      <c r="B2" s="204" t="str">
        <f>[1]Sheet1!C122</f>
        <v>Senture 1</v>
      </c>
      <c r="C2" s="204" t="str">
        <f>[1]Sheet1!A122</f>
        <v>Allison Lambright</v>
      </c>
      <c r="D2" s="205">
        <f>IFERROR(VLOOKUP(A2,'[1]all signify'!B:H,2,FALSE),"")</f>
        <v>393</v>
      </c>
      <c r="E2" s="206">
        <f>IFERROR(VLOOKUP(A2,'[1]all signify'!B:H,3,FALSE),"")</f>
        <v>0.35630000000000001</v>
      </c>
      <c r="F2" s="206">
        <f>IFERROR(VLOOKUP(A2,'[1]all signify'!B:H,4,FALSE),"")</f>
        <v>0.70660000000000001</v>
      </c>
      <c r="G2" s="206">
        <f>IFERROR(VLOOKUP(A2,'[1]all signify'!B:H,5,FALSE),"")</f>
        <v>0.78590000000000004</v>
      </c>
      <c r="H2" s="206">
        <f>IFERROR(VLOOKUP(A2,'[1]all signify'!B:H,6,FALSE),"")</f>
        <v>0.82989999999999997</v>
      </c>
      <c r="I2" s="207">
        <f>IFERROR(VLOOKUP(A2,'[1]all signify'!B:H,7,FALSE),"")</f>
        <v>0.63759999999999994</v>
      </c>
    </row>
    <row r="3" spans="1:9" x14ac:dyDescent="0.35">
      <c r="A3" s="204" t="str">
        <f>[1]Sheet1!B134</f>
        <v>Yazli Yerena</v>
      </c>
      <c r="B3" s="204" t="str">
        <f>[1]Sheet1!C134</f>
        <v>Senture 1</v>
      </c>
      <c r="C3" s="204" t="str">
        <f>[1]Sheet1!A134</f>
        <v>Allison Lambright</v>
      </c>
      <c r="D3" s="205">
        <f>IFERROR(VLOOKUP(A3,'[1]all signify'!B:H,2,FALSE),"")</f>
        <v>989</v>
      </c>
      <c r="E3" s="206">
        <f>IFERROR(VLOOKUP(A3,'[1]all signify'!B:H,3,FALSE),"")</f>
        <v>0.30049999999999999</v>
      </c>
      <c r="F3" s="206">
        <f>IFERROR(VLOOKUP(A3,'[1]all signify'!B:H,4,FALSE),"")</f>
        <v>0.7379</v>
      </c>
      <c r="G3" s="206">
        <f>IFERROR(VLOOKUP(A3,'[1]all signify'!B:H,5,FALSE),"")</f>
        <v>0.77680000000000005</v>
      </c>
      <c r="H3" s="206">
        <f>IFERROR(VLOOKUP(A3,'[1]all signify'!B:H,6,FALSE),"")</f>
        <v>0.97589999999999999</v>
      </c>
      <c r="I3" s="207">
        <f>IFERROR(VLOOKUP(A3,'[1]all signify'!B:H,7,FALSE),"")</f>
        <v>0.6421</v>
      </c>
    </row>
    <row r="4" spans="1:9" x14ac:dyDescent="0.35">
      <c r="A4" s="204" t="str">
        <f>[1]Sheet1!B132</f>
        <v>Rachel Garcia</v>
      </c>
      <c r="B4" s="204" t="str">
        <f>[1]Sheet1!C132</f>
        <v>Senture 1</v>
      </c>
      <c r="C4" s="204" t="str">
        <f>[1]Sheet1!A132</f>
        <v>Allison Lambright</v>
      </c>
      <c r="D4" s="205">
        <f>IFERROR(VLOOKUP(A4,'[1]all signify'!B:H,2,FALSE),"")</f>
        <v>1167</v>
      </c>
      <c r="E4" s="206">
        <f>IFERROR(VLOOKUP(A4,'[1]all signify'!B:H,3,FALSE),"")</f>
        <v>0.37069999999999997</v>
      </c>
      <c r="F4" s="206">
        <f>IFERROR(VLOOKUP(A4,'[1]all signify'!B:H,4,FALSE),"")</f>
        <v>0.71089999999999998</v>
      </c>
      <c r="G4" s="206">
        <f>IFERROR(VLOOKUP(A4,'[1]all signify'!B:H,5,FALSE),"")</f>
        <v>0.81489999999999996</v>
      </c>
      <c r="H4" s="206">
        <f>IFERROR(VLOOKUP(A4,'[1]all signify'!B:H,6,FALSE),"")</f>
        <v>0.98050000000000004</v>
      </c>
      <c r="I4" s="207">
        <f>IFERROR(VLOOKUP(A4,'[1]all signify'!B:H,7,FALSE),"")</f>
        <v>0.66700000000000004</v>
      </c>
    </row>
    <row r="5" spans="1:9" x14ac:dyDescent="0.35">
      <c r="A5" s="204" t="str">
        <f>[1]Sheet1!B129</f>
        <v>Keysanah Baldwin</v>
      </c>
      <c r="B5" s="204" t="str">
        <f>[1]Sheet1!C129</f>
        <v>Senture 1</v>
      </c>
      <c r="C5" s="204" t="str">
        <f>[1]Sheet1!A129</f>
        <v>Allison Lambright</v>
      </c>
      <c r="D5" s="205">
        <f>IFERROR(VLOOKUP(A5,'[1]all signify'!B:H,2,FALSE),"")</f>
        <v>2910</v>
      </c>
      <c r="E5" s="206">
        <f>IFERROR(VLOOKUP(A5,'[1]all signify'!B:H,3,FALSE),"")</f>
        <v>0.89429999999999998</v>
      </c>
      <c r="F5" s="206">
        <f>IFERROR(VLOOKUP(A5,'[1]all signify'!B:H,4,FALSE),"")</f>
        <v>0.68989999999999996</v>
      </c>
      <c r="G5" s="206">
        <f>IFERROR(VLOOKUP(A5,'[1]all signify'!B:H,5,FALSE),"")</f>
        <v>0.92730000000000001</v>
      </c>
      <c r="H5" s="206">
        <f>IFERROR(VLOOKUP(A5,'[1]all signify'!B:H,6,FALSE),"")</f>
        <v>0.99390000000000001</v>
      </c>
      <c r="I5" s="207">
        <f>IFERROR(VLOOKUP(A5,'[1]all signify'!B:H,7,FALSE),"")</f>
        <v>0.8528</v>
      </c>
    </row>
    <row r="6" spans="1:9" x14ac:dyDescent="0.35">
      <c r="A6" s="204" t="str">
        <f>[1]Sheet1!B126</f>
        <v>Erin Underwood</v>
      </c>
      <c r="B6" s="204" t="str">
        <f>[1]Sheet1!C126</f>
        <v>Senture 1</v>
      </c>
      <c r="C6" s="204" t="str">
        <f>[1]Sheet1!A126</f>
        <v>Allison Lambright</v>
      </c>
      <c r="D6" s="205">
        <f>IFERROR(VLOOKUP(A6,'[1]all signify'!B:H,2,FALSE),"")</f>
        <v>487</v>
      </c>
      <c r="E6" s="206">
        <f>IFERROR(VLOOKUP(A6,'[1]all signify'!B:H,3,FALSE),"")</f>
        <v>0.94369999999999998</v>
      </c>
      <c r="F6" s="206">
        <f>IFERROR(VLOOKUP(A6,'[1]all signify'!B:H,4,FALSE),"")</f>
        <v>0.73740000000000006</v>
      </c>
      <c r="G6" s="206">
        <f>IFERROR(VLOOKUP(A6,'[1]all signify'!B:H,5,FALSE),"")</f>
        <v>0.84719999999999995</v>
      </c>
      <c r="H6" s="206">
        <f>IFERROR(VLOOKUP(A6,'[1]all signify'!B:H,6,FALSE),"")</f>
        <v>0.95799999999999996</v>
      </c>
      <c r="I6" s="207">
        <f>IFERROR(VLOOKUP(A6,'[1]all signify'!B:H,7,FALSE),"")</f>
        <v>0.85419999999999996</v>
      </c>
    </row>
    <row r="7" spans="1:9" x14ac:dyDescent="0.35">
      <c r="A7" s="204" t="str">
        <f>[1]Sheet1!B124</f>
        <v>Beatriz Alvarado</v>
      </c>
      <c r="B7" s="204" t="str">
        <f>[1]Sheet1!C124</f>
        <v>Senture 1</v>
      </c>
      <c r="C7" s="204" t="str">
        <f>[1]Sheet1!A124</f>
        <v>Allison Lambright</v>
      </c>
      <c r="D7" s="205">
        <f>IFERROR(VLOOKUP(A7,'[1]all signify'!B:H,2,FALSE),"")</f>
        <v>2190</v>
      </c>
      <c r="E7" s="206">
        <f>IFERROR(VLOOKUP(A7,'[1]all signify'!B:H,3,FALSE),"")</f>
        <v>0.94779999999999998</v>
      </c>
      <c r="F7" s="206">
        <f>IFERROR(VLOOKUP(A7,'[1]all signify'!B:H,4,FALSE),"")</f>
        <v>0.67149999999999999</v>
      </c>
      <c r="G7" s="206">
        <f>IFERROR(VLOOKUP(A7,'[1]all signify'!B:H,5,FALSE),"")</f>
        <v>0.91590000000000005</v>
      </c>
      <c r="H7" s="206">
        <f>IFERROR(VLOOKUP(A7,'[1]all signify'!B:H,6,FALSE),"")</f>
        <v>0.9919</v>
      </c>
      <c r="I7" s="207">
        <f>IFERROR(VLOOKUP(A7,'[1]all signify'!B:H,7,FALSE),"")</f>
        <v>0.85970000000000002</v>
      </c>
    </row>
    <row r="8" spans="1:9" x14ac:dyDescent="0.35">
      <c r="A8" s="204" t="str">
        <f>[1]Sheet1!B123</f>
        <v>Antavian Taylor</v>
      </c>
      <c r="B8" s="204" t="str">
        <f>[1]Sheet1!C123</f>
        <v>Senture 1</v>
      </c>
      <c r="C8" s="204" t="str">
        <f>[1]Sheet1!A123</f>
        <v>Allison Lambright</v>
      </c>
      <c r="D8" s="205">
        <f>IFERROR(VLOOKUP(A8,'[1]all signify'!B:H,2,FALSE),"")</f>
        <v>2796</v>
      </c>
      <c r="E8" s="206">
        <f>IFERROR(VLOOKUP(A8,'[1]all signify'!B:H,3,FALSE),"")</f>
        <v>0.94889999999999997</v>
      </c>
      <c r="F8" s="206">
        <f>IFERROR(VLOOKUP(A8,'[1]all signify'!B:H,4,FALSE),"")</f>
        <v>0.69599999999999995</v>
      </c>
      <c r="G8" s="206">
        <f>IFERROR(VLOOKUP(A8,'[1]all signify'!B:H,5,FALSE),"")</f>
        <v>0.91090000000000004</v>
      </c>
      <c r="H8" s="206">
        <f>IFERROR(VLOOKUP(A8,'[1]all signify'!B:H,6,FALSE),"")</f>
        <v>0.99470000000000003</v>
      </c>
      <c r="I8" s="207">
        <f>IFERROR(VLOOKUP(A8,'[1]all signify'!B:H,7,FALSE),"")</f>
        <v>0.86619999999999997</v>
      </c>
    </row>
    <row r="9" spans="1:9" x14ac:dyDescent="0.35">
      <c r="A9" s="204" t="str">
        <f>[1]Sheet1!B131</f>
        <v>Lauren Morgan</v>
      </c>
      <c r="B9" s="204" t="str">
        <f>[1]Sheet1!C131</f>
        <v>Senture 1</v>
      </c>
      <c r="C9" s="204" t="str">
        <f>[1]Sheet1!A131</f>
        <v>Allison Lambright</v>
      </c>
      <c r="D9" s="205">
        <f>IFERROR(VLOOKUP(A9,'[1]all signify'!B:H,2,FALSE),"")</f>
        <v>2768</v>
      </c>
      <c r="E9" s="206">
        <f>IFERROR(VLOOKUP(A9,'[1]all signify'!B:H,3,FALSE),"")</f>
        <v>0.91210000000000002</v>
      </c>
      <c r="F9" s="206">
        <f>IFERROR(VLOOKUP(A9,'[1]all signify'!B:H,4,FALSE),"")</f>
        <v>0.72529999999999994</v>
      </c>
      <c r="G9" s="206">
        <f>IFERROR(VLOOKUP(A9,'[1]all signify'!B:H,5,FALSE),"")</f>
        <v>0.91800000000000004</v>
      </c>
      <c r="H9" s="206">
        <f>IFERROR(VLOOKUP(A9,'[1]all signify'!B:H,6,FALSE),"")</f>
        <v>0.99760000000000004</v>
      </c>
      <c r="I9" s="207">
        <f>IFERROR(VLOOKUP(A9,'[1]all signify'!B:H,7,FALSE),"")</f>
        <v>0.86639999999999995</v>
      </c>
    </row>
    <row r="10" spans="1:9" x14ac:dyDescent="0.35">
      <c r="A10" s="204" t="str">
        <f>[1]Sheet1!B135</f>
        <v>Yvonne Barbee</v>
      </c>
      <c r="B10" s="204" t="str">
        <f>[1]Sheet1!C135</f>
        <v>Senture 1</v>
      </c>
      <c r="C10" s="204" t="str">
        <f>[1]Sheet1!A135</f>
        <v>Allison Lambright</v>
      </c>
      <c r="D10" s="205">
        <f>IFERROR(VLOOKUP(A10,'[1]all signify'!B:H,2,FALSE),"")</f>
        <v>2079</v>
      </c>
      <c r="E10" s="206">
        <f>IFERROR(VLOOKUP(A10,'[1]all signify'!B:H,3,FALSE),"")</f>
        <v>0.96020000000000005</v>
      </c>
      <c r="F10" s="206">
        <f>IFERROR(VLOOKUP(A10,'[1]all signify'!B:H,4,FALSE),"")</f>
        <v>0.7</v>
      </c>
      <c r="G10" s="206">
        <f>IFERROR(VLOOKUP(A10,'[1]all signify'!B:H,5,FALSE),"")</f>
        <v>0.8982</v>
      </c>
      <c r="H10" s="206">
        <f>IFERROR(VLOOKUP(A10,'[1]all signify'!B:H,6,FALSE),"")</f>
        <v>0.99490000000000001</v>
      </c>
      <c r="I10" s="207">
        <f>IFERROR(VLOOKUP(A10,'[1]all signify'!B:H,7,FALSE),"")</f>
        <v>0.86699999999999999</v>
      </c>
    </row>
    <row r="11" spans="1:9" x14ac:dyDescent="0.35">
      <c r="A11" s="204" t="str">
        <f>[1]Sheet1!B128</f>
        <v>Janice Winston</v>
      </c>
      <c r="B11" s="204" t="str">
        <f>[1]Sheet1!C128</f>
        <v>Senture 1</v>
      </c>
      <c r="C11" s="204" t="str">
        <f>[1]Sheet1!A128</f>
        <v>Allison Lambright</v>
      </c>
      <c r="D11" s="205">
        <f>IFERROR(VLOOKUP(A11,'[1]all signify'!B:H,2,FALSE),"")</f>
        <v>2781</v>
      </c>
      <c r="E11" s="206">
        <f>IFERROR(VLOOKUP(A11,'[1]all signify'!B:H,3,FALSE),"")</f>
        <v>0.93630000000000002</v>
      </c>
      <c r="F11" s="206">
        <f>IFERROR(VLOOKUP(A11,'[1]all signify'!B:H,4,FALSE),"")</f>
        <v>0.69989999999999997</v>
      </c>
      <c r="G11" s="206">
        <f>IFERROR(VLOOKUP(A11,'[1]all signify'!B:H,5,FALSE),"")</f>
        <v>0.94010000000000005</v>
      </c>
      <c r="H11" s="206">
        <f>IFERROR(VLOOKUP(A11,'[1]all signify'!B:H,6,FALSE),"")</f>
        <v>0.99629999999999996</v>
      </c>
      <c r="I11" s="207">
        <f>IFERROR(VLOOKUP(A11,'[1]all signify'!B:H,7,FALSE),"")</f>
        <v>0.87250000000000005</v>
      </c>
    </row>
    <row r="12" spans="1:9" x14ac:dyDescent="0.35">
      <c r="A12" s="204" t="str">
        <f>[1]Sheet1!B125</f>
        <v>Charlincia Montgomery</v>
      </c>
      <c r="B12" s="204" t="str">
        <f>[1]Sheet1!C125</f>
        <v>Senture 1</v>
      </c>
      <c r="C12" s="204" t="str">
        <f>[1]Sheet1!A125</f>
        <v>Allison Lambright</v>
      </c>
      <c r="D12" s="205">
        <f>IFERROR(VLOOKUP(A12,'[1]all signify'!B:H,2,FALSE),"")</f>
        <v>2835</v>
      </c>
      <c r="E12" s="206">
        <f>IFERROR(VLOOKUP(A12,'[1]all signify'!B:H,3,FALSE),"")</f>
        <v>0.92979999999999996</v>
      </c>
      <c r="F12" s="206">
        <f>IFERROR(VLOOKUP(A12,'[1]all signify'!B:H,4,FALSE),"")</f>
        <v>0.76180000000000003</v>
      </c>
      <c r="G12" s="206">
        <f>IFERROR(VLOOKUP(A12,'[1]all signify'!B:H,5,FALSE),"")</f>
        <v>0.89890000000000003</v>
      </c>
      <c r="H12" s="206">
        <f>IFERROR(VLOOKUP(A12,'[1]all signify'!B:H,6,FALSE),"")</f>
        <v>0.98729999999999996</v>
      </c>
      <c r="I12" s="207">
        <f>IFERROR(VLOOKUP(A12,'[1]all signify'!B:H,7,FALSE),"")</f>
        <v>0.87590000000000001</v>
      </c>
    </row>
    <row r="13" spans="1:9" x14ac:dyDescent="0.35">
      <c r="A13" s="204" t="str">
        <f>[1]Sheet1!B130</f>
        <v>Kiarra Grandison</v>
      </c>
      <c r="B13" s="204" t="str">
        <f>[1]Sheet1!C130</f>
        <v>Senture 1</v>
      </c>
      <c r="C13" s="204" t="str">
        <f>[1]Sheet1!A130</f>
        <v>Allison Lambright</v>
      </c>
      <c r="D13" s="205">
        <f>IFERROR(VLOOKUP(A13,'[1]all signify'!B:H,2,FALSE),"")</f>
        <v>2061</v>
      </c>
      <c r="E13" s="206">
        <f>IFERROR(VLOOKUP(A13,'[1]all signify'!B:H,3,FALSE),"")</f>
        <v>0.95099999999999996</v>
      </c>
      <c r="F13" s="206">
        <f>IFERROR(VLOOKUP(A13,'[1]all signify'!B:H,4,FALSE),"")</f>
        <v>0.72570000000000001</v>
      </c>
      <c r="G13" s="206">
        <f>IFERROR(VLOOKUP(A13,'[1]all signify'!B:H,5,FALSE),"")</f>
        <v>0.93069999999999997</v>
      </c>
      <c r="H13" s="206">
        <f>IFERROR(VLOOKUP(A13,'[1]all signify'!B:H,6,FALSE),"")</f>
        <v>0.99529999999999996</v>
      </c>
      <c r="I13" s="207">
        <f>IFERROR(VLOOKUP(A13,'[1]all signify'!B:H,7,FALSE),"")</f>
        <v>0.88170000000000004</v>
      </c>
    </row>
    <row r="14" spans="1:9" x14ac:dyDescent="0.35">
      <c r="A14" s="204" t="str">
        <f>[1]Sheet1!B127</f>
        <v>Heather Cash</v>
      </c>
      <c r="B14" s="204" t="str">
        <f>[1]Sheet1!C127</f>
        <v>Senture 1</v>
      </c>
      <c r="C14" s="204" t="str">
        <f>[1]Sheet1!A127</f>
        <v>Allison Lambright</v>
      </c>
      <c r="D14" s="205">
        <f>IFERROR(VLOOKUP(A14,'[1]all signify'!B:H,2,FALSE),"")</f>
        <v>2093</v>
      </c>
      <c r="E14" s="206">
        <f>IFERROR(VLOOKUP(A14,'[1]all signify'!B:H,3,FALSE),"")</f>
        <v>0.97330000000000005</v>
      </c>
      <c r="F14" s="206">
        <f>IFERROR(VLOOKUP(A14,'[1]all signify'!B:H,4,FALSE),"")</f>
        <v>0.71740000000000004</v>
      </c>
      <c r="G14" s="206">
        <f>IFERROR(VLOOKUP(A14,'[1]all signify'!B:H,5,FALSE),"")</f>
        <v>0.92710000000000004</v>
      </c>
      <c r="H14" s="206">
        <f>IFERROR(VLOOKUP(A14,'[1]all signify'!B:H,6,FALSE),"")</f>
        <v>0.99299999999999999</v>
      </c>
      <c r="I14" s="207">
        <f>IFERROR(VLOOKUP(A14,'[1]all signify'!B:H,7,FALSE),"")</f>
        <v>0.88460000000000005</v>
      </c>
    </row>
    <row r="15" spans="1:9" x14ac:dyDescent="0.35">
      <c r="A15" s="204" t="str">
        <f>[1]Sheet1!B133</f>
        <v>Samantha Walker</v>
      </c>
      <c r="B15" s="204" t="str">
        <f>[1]Sheet1!C133</f>
        <v>Senture 1</v>
      </c>
      <c r="C15" s="204" t="str">
        <f>[1]Sheet1!A133</f>
        <v>Allison Lambright</v>
      </c>
      <c r="D15" s="205">
        <f>IFERROR(VLOOKUP(A15,'[1]all signify'!B:H,2,FALSE),"")</f>
        <v>2729</v>
      </c>
      <c r="E15" s="206">
        <f>IFERROR(VLOOKUP(A15,'[1]all signify'!B:H,3,FALSE),"")</f>
        <v>0.96540000000000004</v>
      </c>
      <c r="F15" s="206">
        <f>IFERROR(VLOOKUP(A15,'[1]all signify'!B:H,4,FALSE),"")</f>
        <v>0.74750000000000005</v>
      </c>
      <c r="G15" s="206">
        <f>IFERROR(VLOOKUP(A15,'[1]all signify'!B:H,5,FALSE),"")</f>
        <v>0.94359999999999999</v>
      </c>
      <c r="H15" s="206">
        <f>IFERROR(VLOOKUP(A15,'[1]all signify'!B:H,6,FALSE),"")</f>
        <v>0.99529999999999996</v>
      </c>
      <c r="I15" s="207">
        <f>IFERROR(VLOOKUP(A15,'[1]all signify'!B:H,7,FALSE),"")</f>
        <v>0.89649999999999996</v>
      </c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conditionalFormatting sqref="I2:I15">
    <cfRule type="cellIs" dxfId="1" priority="1" operator="lessThan">
      <formula>0.8</formula>
    </cfRule>
    <cfRule type="cellIs" dxfId="0" priority="2" operator="greaterThan">
      <formula>0.8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E7F92-2DB6-472E-B9C2-FA719C12CDA2}">
  <sheetPr codeName="Sheet37">
    <tabColor rgb="FF002060"/>
  </sheetPr>
  <dimension ref="A1:N381"/>
  <sheetViews>
    <sheetView workbookViewId="0">
      <selection activeCell="A3" sqref="A3:L20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2" bestFit="1" customWidth="1"/>
    <col min="7" max="7" width="8.90625" style="40" bestFit="1" customWidth="1"/>
    <col min="8" max="8" width="11.08984375" style="167" bestFit="1" customWidth="1"/>
    <col min="9" max="9" width="16.36328125" style="167" bestFit="1" customWidth="1"/>
    <col min="10" max="10" width="24" style="140" bestFit="1" customWidth="1"/>
    <col min="11" max="11" width="20" style="140" bestFit="1" customWidth="1"/>
    <col min="12" max="12" width="20.453125" style="167" bestFit="1" customWidth="1"/>
    <col min="13" max="13" width="23.1796875" style="2" bestFit="1" customWidth="1"/>
    <col min="14" max="14" width="16.08984375" style="2" bestFit="1" customWidth="1"/>
    <col min="15" max="16384" width="9.08984375" style="1"/>
  </cols>
  <sheetData>
    <row r="1" spans="1:14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68" t="s">
        <v>5</v>
      </c>
      <c r="G1" s="163" t="s">
        <v>6</v>
      </c>
      <c r="H1" s="160" t="s">
        <v>59</v>
      </c>
      <c r="I1" s="160" t="s">
        <v>7</v>
      </c>
      <c r="J1" s="161" t="s">
        <v>60</v>
      </c>
      <c r="K1" s="161" t="s">
        <v>8</v>
      </c>
      <c r="L1" s="160" t="s">
        <v>9</v>
      </c>
      <c r="M1" s="168" t="s">
        <v>61</v>
      </c>
      <c r="N1" s="168" t="s">
        <v>62</v>
      </c>
    </row>
    <row r="2" spans="1:14" x14ac:dyDescent="0.35">
      <c r="A2" s="31"/>
      <c r="B2" s="23"/>
      <c r="C2" s="23"/>
      <c r="D2" s="23"/>
      <c r="E2" s="24"/>
      <c r="F2" s="169"/>
      <c r="G2" s="164"/>
      <c r="H2" s="26"/>
      <c r="I2" s="26"/>
      <c r="J2" s="137"/>
      <c r="K2" s="137"/>
      <c r="L2" s="26"/>
      <c r="M2" s="169"/>
      <c r="N2" s="169"/>
    </row>
    <row r="3" spans="1:14" x14ac:dyDescent="0.35">
      <c r="A3" s="141" t="s">
        <v>69</v>
      </c>
      <c r="B3" s="142">
        <v>1.5553587962962963</v>
      </c>
      <c r="C3" s="143">
        <v>0.31107638888888889</v>
      </c>
      <c r="D3" s="143">
        <v>1.4620138888888889</v>
      </c>
      <c r="E3" s="144">
        <v>0.29240740740740739</v>
      </c>
      <c r="F3" s="145">
        <v>0.94</v>
      </c>
      <c r="G3" s="142">
        <v>4.861111111111111E-4</v>
      </c>
      <c r="H3" s="146">
        <v>2432</v>
      </c>
      <c r="I3" s="146">
        <v>486</v>
      </c>
      <c r="J3" s="147">
        <v>4.53</v>
      </c>
      <c r="K3" s="147">
        <v>31.8</v>
      </c>
      <c r="L3" s="146">
        <v>159</v>
      </c>
      <c r="M3" s="145"/>
      <c r="N3" s="145"/>
    </row>
    <row r="4" spans="1:14" x14ac:dyDescent="0.35">
      <c r="A4" s="148" t="s">
        <v>79</v>
      </c>
      <c r="B4" s="149">
        <v>1.4375231481481481</v>
      </c>
      <c r="C4" s="150">
        <v>0.35938657407407409</v>
      </c>
      <c r="D4" s="150">
        <v>1.3285185185185184</v>
      </c>
      <c r="E4" s="151">
        <v>0.33212962962962961</v>
      </c>
      <c r="F4" s="152">
        <v>0.92400000000000004</v>
      </c>
      <c r="G4" s="149">
        <v>3.3564814814814812E-4</v>
      </c>
      <c r="H4" s="153">
        <v>3214</v>
      </c>
      <c r="I4" s="153">
        <v>804</v>
      </c>
      <c r="J4" s="154">
        <v>2.73</v>
      </c>
      <c r="K4" s="154">
        <v>21.8</v>
      </c>
      <c r="L4" s="153">
        <v>87</v>
      </c>
      <c r="M4" s="152"/>
      <c r="N4" s="152"/>
    </row>
    <row r="5" spans="1:14" x14ac:dyDescent="0.35">
      <c r="A5" s="148" t="s">
        <v>84</v>
      </c>
      <c r="B5" s="149">
        <v>2.0659722222222222E-2</v>
      </c>
      <c r="C5" s="150">
        <v>1.0335648148148148E-2</v>
      </c>
      <c r="D5" s="150">
        <v>1.7974537037037035E-2</v>
      </c>
      <c r="E5" s="151">
        <v>8.9930555555555562E-3</v>
      </c>
      <c r="F5" s="152">
        <v>0.87</v>
      </c>
      <c r="G5" s="149">
        <v>2.8935185185185184E-4</v>
      </c>
      <c r="H5" s="153">
        <v>51</v>
      </c>
      <c r="I5" s="153">
        <v>26</v>
      </c>
      <c r="J5" s="154"/>
      <c r="K5" s="154"/>
      <c r="L5" s="153"/>
      <c r="M5" s="152"/>
      <c r="N5" s="152"/>
    </row>
    <row r="6" spans="1:14" x14ac:dyDescent="0.35">
      <c r="A6" s="148" t="s">
        <v>70</v>
      </c>
      <c r="B6" s="150">
        <v>1.2098032407407406</v>
      </c>
      <c r="C6" s="150">
        <v>0.30245370370370372</v>
      </c>
      <c r="D6" s="150">
        <v>1.1333680555555556</v>
      </c>
      <c r="E6" s="151">
        <v>0.28334490740740742</v>
      </c>
      <c r="F6" s="152">
        <v>0.93700000000000006</v>
      </c>
      <c r="G6" s="149">
        <v>4.5138888888888887E-4</v>
      </c>
      <c r="H6" s="153">
        <v>2124</v>
      </c>
      <c r="I6" s="153">
        <v>531</v>
      </c>
      <c r="J6" s="154">
        <v>3.35</v>
      </c>
      <c r="K6" s="154">
        <v>22.8</v>
      </c>
      <c r="L6" s="153">
        <v>91</v>
      </c>
      <c r="M6" s="152"/>
      <c r="N6" s="152"/>
    </row>
    <row r="7" spans="1:14" x14ac:dyDescent="0.35">
      <c r="A7" s="148" t="s">
        <v>80</v>
      </c>
      <c r="B7" s="149">
        <v>1.7680671296296295</v>
      </c>
      <c r="C7" s="150">
        <v>0.3536111111111111</v>
      </c>
      <c r="D7" s="150">
        <v>1.6299305555555557</v>
      </c>
      <c r="E7" s="151">
        <v>0.32598379629629631</v>
      </c>
      <c r="F7" s="152">
        <v>0.92200000000000004</v>
      </c>
      <c r="G7" s="149">
        <v>3.3564814814814812E-4</v>
      </c>
      <c r="H7" s="153">
        <v>3855</v>
      </c>
      <c r="I7" s="153">
        <v>771</v>
      </c>
      <c r="J7" s="154">
        <v>2.89</v>
      </c>
      <c r="K7" s="154">
        <v>22.6</v>
      </c>
      <c r="L7" s="153">
        <v>113</v>
      </c>
      <c r="M7" s="152"/>
      <c r="N7" s="152"/>
    </row>
    <row r="8" spans="1:14" x14ac:dyDescent="0.35">
      <c r="A8" s="148" t="s">
        <v>75</v>
      </c>
      <c r="B8" s="149">
        <v>0.92283564814814811</v>
      </c>
      <c r="C8" s="150">
        <v>0.23070601851851852</v>
      </c>
      <c r="D8" s="150">
        <v>0.86659722222222224</v>
      </c>
      <c r="E8" s="151">
        <v>0.21665509259259258</v>
      </c>
      <c r="F8" s="152">
        <v>0.93899999999999995</v>
      </c>
      <c r="G8" s="149">
        <v>3.4722222222222224E-4</v>
      </c>
      <c r="H8" s="153">
        <v>2026</v>
      </c>
      <c r="I8" s="153">
        <v>507</v>
      </c>
      <c r="J8" s="154">
        <v>2.6</v>
      </c>
      <c r="K8" s="154">
        <v>13.5</v>
      </c>
      <c r="L8" s="153">
        <v>54</v>
      </c>
      <c r="M8" s="152"/>
      <c r="N8" s="152"/>
    </row>
    <row r="9" spans="1:14" x14ac:dyDescent="0.35">
      <c r="A9" s="148" t="s">
        <v>77</v>
      </c>
      <c r="B9" s="150">
        <v>1.1312962962962962</v>
      </c>
      <c r="C9" s="150">
        <v>0.28282407407407406</v>
      </c>
      <c r="D9" s="150">
        <v>1.0103009259259259</v>
      </c>
      <c r="E9" s="151">
        <v>0.2525810185185185</v>
      </c>
      <c r="F9" s="152">
        <v>0.89300000000000002</v>
      </c>
      <c r="G9" s="149">
        <v>4.1666666666666669E-4</v>
      </c>
      <c r="H9" s="153">
        <v>2032</v>
      </c>
      <c r="I9" s="153">
        <v>508</v>
      </c>
      <c r="J9" s="154">
        <v>2.76</v>
      </c>
      <c r="K9" s="154">
        <v>22.3</v>
      </c>
      <c r="L9" s="153">
        <v>67</v>
      </c>
      <c r="M9" s="152"/>
      <c r="N9" s="152"/>
    </row>
    <row r="10" spans="1:14" x14ac:dyDescent="0.35">
      <c r="A10" s="148" t="s">
        <v>78</v>
      </c>
      <c r="B10" s="149">
        <v>1.0619444444444444</v>
      </c>
      <c r="C10" s="150">
        <v>0.35398148148148151</v>
      </c>
      <c r="D10" s="150">
        <v>0.99631944444444442</v>
      </c>
      <c r="E10" s="151">
        <v>0.33210648148148147</v>
      </c>
      <c r="F10" s="152">
        <v>0.93799999999999994</v>
      </c>
      <c r="G10" s="149">
        <v>3.4722222222222224E-4</v>
      </c>
      <c r="H10" s="153">
        <v>2338</v>
      </c>
      <c r="I10" s="153">
        <v>779</v>
      </c>
      <c r="J10" s="154">
        <v>2.34</v>
      </c>
      <c r="K10" s="154">
        <v>18.7</v>
      </c>
      <c r="L10" s="153">
        <v>56</v>
      </c>
      <c r="M10" s="152"/>
      <c r="N10" s="152"/>
    </row>
    <row r="11" spans="1:14" x14ac:dyDescent="0.35">
      <c r="A11" s="148" t="s">
        <v>85</v>
      </c>
      <c r="B11" s="150">
        <v>7.9745370370370369E-3</v>
      </c>
      <c r="C11" s="150">
        <v>7.9745370370370369E-3</v>
      </c>
      <c r="D11" s="150">
        <v>0</v>
      </c>
      <c r="E11" s="151">
        <v>0</v>
      </c>
      <c r="F11" s="152">
        <v>0</v>
      </c>
      <c r="G11" s="149">
        <v>0</v>
      </c>
      <c r="H11" s="153">
        <v>0</v>
      </c>
      <c r="I11" s="153">
        <v>0</v>
      </c>
      <c r="J11" s="154"/>
      <c r="K11" s="154"/>
      <c r="L11" s="153"/>
      <c r="M11" s="152"/>
      <c r="N11" s="152"/>
    </row>
    <row r="12" spans="1:14" x14ac:dyDescent="0.35">
      <c r="A12" s="148" t="s">
        <v>82</v>
      </c>
      <c r="B12" s="149">
        <v>1.187326388888889</v>
      </c>
      <c r="C12" s="150">
        <v>0.29682870370370368</v>
      </c>
      <c r="D12" s="150">
        <v>1.0762847222222223</v>
      </c>
      <c r="E12" s="151">
        <v>0.26907407407407408</v>
      </c>
      <c r="F12" s="152">
        <v>0.90600000000000003</v>
      </c>
      <c r="G12" s="149">
        <v>3.2407407407407406E-4</v>
      </c>
      <c r="H12" s="153">
        <v>2659</v>
      </c>
      <c r="I12" s="153">
        <v>665</v>
      </c>
      <c r="J12" s="154">
        <v>2.3199999999999998</v>
      </c>
      <c r="K12" s="154">
        <v>15</v>
      </c>
      <c r="L12" s="153">
        <v>60</v>
      </c>
      <c r="M12" s="152"/>
      <c r="N12" s="152"/>
    </row>
    <row r="13" spans="1:14" x14ac:dyDescent="0.35">
      <c r="A13" s="148" t="s">
        <v>81</v>
      </c>
      <c r="B13" s="149">
        <v>1.1074074074074074</v>
      </c>
      <c r="C13" s="150">
        <v>0.27685185185185185</v>
      </c>
      <c r="D13" s="150">
        <v>1.0080092592592593</v>
      </c>
      <c r="E13" s="151">
        <v>0.25200231481481483</v>
      </c>
      <c r="F13" s="152">
        <v>0.91</v>
      </c>
      <c r="G13" s="149">
        <v>4.861111111111111E-4</v>
      </c>
      <c r="H13" s="153">
        <v>1744</v>
      </c>
      <c r="I13" s="153">
        <v>436</v>
      </c>
      <c r="J13" s="154">
        <v>3.43</v>
      </c>
      <c r="K13" s="154">
        <v>20.8</v>
      </c>
      <c r="L13" s="153">
        <v>83</v>
      </c>
      <c r="M13" s="152"/>
      <c r="N13" s="152"/>
    </row>
    <row r="14" spans="1:14" x14ac:dyDescent="0.35">
      <c r="A14" s="148" t="s">
        <v>73</v>
      </c>
      <c r="B14" s="149">
        <v>1.4254282407407408</v>
      </c>
      <c r="C14" s="150">
        <v>0.35635416666666669</v>
      </c>
      <c r="D14" s="150">
        <v>1.3394097222222223</v>
      </c>
      <c r="E14" s="151">
        <v>0.33484953703703701</v>
      </c>
      <c r="F14" s="152">
        <v>0.94</v>
      </c>
      <c r="G14" s="149">
        <v>3.4722222222222224E-4</v>
      </c>
      <c r="H14" s="153">
        <v>3135</v>
      </c>
      <c r="I14" s="153">
        <v>784</v>
      </c>
      <c r="J14" s="154">
        <v>2.2400000000000002</v>
      </c>
      <c r="K14" s="154">
        <v>18</v>
      </c>
      <c r="L14" s="153">
        <v>72</v>
      </c>
      <c r="M14" s="152"/>
      <c r="N14" s="152"/>
    </row>
    <row r="15" spans="1:14" x14ac:dyDescent="0.35">
      <c r="A15" s="148" t="s">
        <v>86</v>
      </c>
      <c r="B15" s="149">
        <v>3.9050925925925926E-2</v>
      </c>
      <c r="C15" s="150">
        <v>1.9525462962962963E-2</v>
      </c>
      <c r="D15" s="150">
        <v>3.1956018518518516E-2</v>
      </c>
      <c r="E15" s="151">
        <v>1.5983796296296298E-2</v>
      </c>
      <c r="F15" s="152">
        <v>0.81799999999999995</v>
      </c>
      <c r="G15" s="149">
        <v>5.7870370370370367E-4</v>
      </c>
      <c r="H15" s="153">
        <v>45</v>
      </c>
      <c r="I15" s="153">
        <v>23</v>
      </c>
      <c r="J15" s="154"/>
      <c r="K15" s="154"/>
      <c r="L15" s="153"/>
      <c r="M15" s="152"/>
      <c r="N15" s="152"/>
    </row>
    <row r="16" spans="1:14" x14ac:dyDescent="0.35">
      <c r="A16" s="148" t="s">
        <v>71</v>
      </c>
      <c r="B16" s="149">
        <v>0.95270833333333338</v>
      </c>
      <c r="C16" s="150">
        <v>0.23818287037037036</v>
      </c>
      <c r="D16" s="150">
        <v>0.90752314814814816</v>
      </c>
      <c r="E16" s="151">
        <v>0.22688657407407409</v>
      </c>
      <c r="F16" s="152">
        <v>0.95299999999999996</v>
      </c>
      <c r="G16" s="149">
        <v>5.7870370370370367E-4</v>
      </c>
      <c r="H16" s="153">
        <v>1296</v>
      </c>
      <c r="I16" s="153">
        <v>324</v>
      </c>
      <c r="J16" s="154">
        <v>3.72</v>
      </c>
      <c r="K16" s="154">
        <v>20.3</v>
      </c>
      <c r="L16" s="153">
        <v>81</v>
      </c>
      <c r="M16" s="152"/>
      <c r="N16" s="152"/>
    </row>
    <row r="17" spans="1:14" x14ac:dyDescent="0.35">
      <c r="A17" s="148" t="s">
        <v>87</v>
      </c>
      <c r="B17" s="149">
        <v>5.4953703703703706E-2</v>
      </c>
      <c r="C17" s="150">
        <v>2.7476851851851853E-2</v>
      </c>
      <c r="D17" s="150">
        <v>4.5324074074074072E-2</v>
      </c>
      <c r="E17" s="151">
        <v>2.2662037037037036E-2</v>
      </c>
      <c r="F17" s="152">
        <v>0.82499999999999996</v>
      </c>
      <c r="G17" s="149">
        <v>6.2500000000000001E-4</v>
      </c>
      <c r="H17" s="153">
        <v>63</v>
      </c>
      <c r="I17" s="153">
        <v>32</v>
      </c>
      <c r="J17" s="154"/>
      <c r="K17" s="154"/>
      <c r="L17" s="153"/>
      <c r="M17" s="152"/>
      <c r="N17" s="152"/>
    </row>
    <row r="18" spans="1:14" x14ac:dyDescent="0.35">
      <c r="A18" s="148" t="s">
        <v>72</v>
      </c>
      <c r="B18" s="149">
        <v>1.4081250000000001</v>
      </c>
      <c r="C18" s="150">
        <v>0.35203703703703704</v>
      </c>
      <c r="D18" s="150">
        <v>1.2953587962962962</v>
      </c>
      <c r="E18" s="151">
        <v>0.32384259259259257</v>
      </c>
      <c r="F18" s="152">
        <v>0.92</v>
      </c>
      <c r="G18" s="149">
        <v>3.4722222222222224E-4</v>
      </c>
      <c r="H18" s="153">
        <v>3074</v>
      </c>
      <c r="I18" s="153">
        <v>769</v>
      </c>
      <c r="J18" s="154">
        <v>2.73</v>
      </c>
      <c r="K18" s="154">
        <v>21.3</v>
      </c>
      <c r="L18" s="153">
        <v>85</v>
      </c>
      <c r="M18" s="152"/>
      <c r="N18" s="152"/>
    </row>
    <row r="19" spans="1:14" x14ac:dyDescent="0.35">
      <c r="A19" s="148" t="s">
        <v>74</v>
      </c>
      <c r="B19" s="149">
        <v>0.70135416666666661</v>
      </c>
      <c r="C19" s="150">
        <v>0.23378472222222221</v>
      </c>
      <c r="D19" s="150">
        <v>0.6665740740740741</v>
      </c>
      <c r="E19" s="151">
        <v>0.22218750000000001</v>
      </c>
      <c r="F19" s="152">
        <v>0.95</v>
      </c>
      <c r="G19" s="149">
        <v>5.9027777777777778E-4</v>
      </c>
      <c r="H19" s="153">
        <v>931</v>
      </c>
      <c r="I19" s="153">
        <v>310</v>
      </c>
      <c r="J19" s="154">
        <v>3.81</v>
      </c>
      <c r="K19" s="154">
        <v>20.3</v>
      </c>
      <c r="L19" s="153">
        <v>61</v>
      </c>
      <c r="M19" s="152"/>
      <c r="N19" s="152"/>
    </row>
    <row r="20" spans="1:14" x14ac:dyDescent="0.35">
      <c r="A20" s="148" t="s">
        <v>76</v>
      </c>
      <c r="B20" s="149">
        <v>1.0864004629629629</v>
      </c>
      <c r="C20" s="150">
        <v>0.36212962962962963</v>
      </c>
      <c r="D20" s="150">
        <v>1.0154976851851851</v>
      </c>
      <c r="E20" s="151">
        <v>0.33849537037037036</v>
      </c>
      <c r="F20" s="152">
        <v>0.93500000000000005</v>
      </c>
      <c r="G20" s="149">
        <v>3.4722222222222224E-4</v>
      </c>
      <c r="H20" s="153">
        <v>2406</v>
      </c>
      <c r="I20" s="153">
        <v>802</v>
      </c>
      <c r="J20" s="154">
        <v>3.24</v>
      </c>
      <c r="K20" s="154">
        <v>26.3</v>
      </c>
      <c r="L20" s="153">
        <v>79</v>
      </c>
      <c r="M20" s="152"/>
      <c r="N20" s="152"/>
    </row>
    <row r="21" spans="1:14" x14ac:dyDescent="0.35">
      <c r="A21" s="148"/>
      <c r="B21" s="149"/>
      <c r="C21" s="150"/>
      <c r="D21" s="150"/>
      <c r="E21" s="151"/>
      <c r="F21" s="152"/>
      <c r="G21" s="149"/>
      <c r="H21" s="153"/>
      <c r="I21" s="153"/>
      <c r="J21" s="154"/>
      <c r="K21" s="154"/>
      <c r="L21" s="153"/>
      <c r="M21" s="152"/>
      <c r="N21" s="152"/>
    </row>
    <row r="22" spans="1:14" x14ac:dyDescent="0.35">
      <c r="A22" s="4"/>
      <c r="B22" s="12"/>
      <c r="C22" s="13"/>
      <c r="D22" s="13"/>
      <c r="E22" s="14"/>
      <c r="F22" s="3"/>
      <c r="G22" s="12"/>
      <c r="H22" s="16"/>
      <c r="I22" s="16"/>
      <c r="J22" s="138"/>
      <c r="K22" s="138"/>
      <c r="L22" s="16"/>
      <c r="M22" s="3"/>
      <c r="N22" s="3"/>
    </row>
    <row r="23" spans="1:14" x14ac:dyDescent="0.35">
      <c r="A23" s="4"/>
      <c r="B23" s="12"/>
      <c r="C23" s="13"/>
      <c r="D23" s="13"/>
      <c r="E23" s="3"/>
      <c r="F23" s="3"/>
      <c r="G23" s="12"/>
      <c r="H23" s="16"/>
      <c r="I23" s="16"/>
      <c r="J23" s="138"/>
      <c r="K23" s="138"/>
      <c r="L23" s="16"/>
      <c r="M23" s="3"/>
      <c r="N23" s="3"/>
    </row>
    <row r="24" spans="1:14" x14ac:dyDescent="0.35">
      <c r="A24" s="4"/>
      <c r="B24" s="12"/>
      <c r="C24" s="13"/>
      <c r="D24" s="13"/>
      <c r="E24" s="3"/>
      <c r="F24" s="3"/>
      <c r="G24" s="12"/>
      <c r="H24" s="16"/>
      <c r="I24" s="16"/>
      <c r="J24" s="138"/>
      <c r="K24" s="138"/>
      <c r="L24" s="16"/>
      <c r="M24" s="3"/>
      <c r="N24" s="3"/>
    </row>
    <row r="25" spans="1:14" x14ac:dyDescent="0.35">
      <c r="A25" s="4"/>
      <c r="B25" s="12"/>
      <c r="C25" s="13"/>
      <c r="D25" s="13"/>
      <c r="E25" s="3"/>
      <c r="F25" s="3"/>
      <c r="G25" s="12"/>
      <c r="H25" s="16"/>
      <c r="I25" s="16"/>
      <c r="J25" s="138"/>
      <c r="K25" s="138"/>
      <c r="L25" s="16"/>
      <c r="M25" s="3"/>
      <c r="N25" s="3"/>
    </row>
    <row r="26" spans="1:14" x14ac:dyDescent="0.35">
      <c r="A26" s="4"/>
      <c r="B26" s="12"/>
      <c r="C26" s="13"/>
      <c r="D26" s="13"/>
      <c r="E26" s="3"/>
      <c r="F26" s="3"/>
      <c r="G26" s="12"/>
      <c r="H26" s="16"/>
      <c r="I26" s="16"/>
      <c r="J26" s="138"/>
      <c r="K26" s="138"/>
      <c r="L26" s="16"/>
      <c r="M26" s="3"/>
      <c r="N26" s="3"/>
    </row>
    <row r="27" spans="1:14" x14ac:dyDescent="0.35">
      <c r="A27" s="4"/>
      <c r="B27" s="13"/>
      <c r="C27" s="13"/>
      <c r="D27" s="13"/>
      <c r="E27" s="3"/>
      <c r="F27" s="3"/>
      <c r="G27" s="12"/>
      <c r="H27" s="16"/>
      <c r="I27" s="16"/>
      <c r="J27" s="138"/>
      <c r="K27" s="138"/>
      <c r="L27" s="16"/>
      <c r="M27" s="3"/>
      <c r="N27" s="3"/>
    </row>
    <row r="28" spans="1:14" x14ac:dyDescent="0.35">
      <c r="A28" s="4"/>
      <c r="B28" s="13"/>
      <c r="C28" s="13"/>
      <c r="D28" s="13"/>
      <c r="E28" s="3"/>
      <c r="F28" s="3"/>
      <c r="G28" s="12"/>
      <c r="H28" s="16"/>
      <c r="I28" s="16"/>
      <c r="J28" s="138"/>
      <c r="K28" s="138"/>
      <c r="L28" s="16"/>
      <c r="M28" s="3"/>
      <c r="N28" s="3"/>
    </row>
    <row r="29" spans="1:14" x14ac:dyDescent="0.35">
      <c r="A29" s="4"/>
      <c r="B29" s="12"/>
      <c r="C29" s="13"/>
      <c r="D29" s="13"/>
      <c r="E29" s="3"/>
      <c r="F29" s="3"/>
      <c r="G29" s="12"/>
      <c r="H29" s="16"/>
      <c r="I29" s="16"/>
      <c r="J29" s="138"/>
      <c r="K29" s="138"/>
      <c r="L29" s="16"/>
      <c r="M29" s="3"/>
      <c r="N29" s="3"/>
    </row>
    <row r="30" spans="1:14" x14ac:dyDescent="0.35">
      <c r="A30" s="4"/>
      <c r="B30" s="12"/>
      <c r="C30" s="13"/>
      <c r="D30" s="13"/>
      <c r="E30" s="3"/>
      <c r="F30" s="3"/>
      <c r="G30" s="12"/>
      <c r="H30" s="16"/>
      <c r="I30" s="16"/>
      <c r="J30" s="138"/>
      <c r="K30" s="138"/>
      <c r="L30" s="16"/>
      <c r="M30" s="3"/>
      <c r="N30" s="3"/>
    </row>
    <row r="31" spans="1:14" x14ac:dyDescent="0.35">
      <c r="A31" s="4"/>
      <c r="B31" s="12"/>
      <c r="C31" s="13"/>
      <c r="D31" s="13"/>
      <c r="E31" s="3"/>
      <c r="F31" s="3"/>
      <c r="G31" s="12"/>
      <c r="H31" s="16"/>
      <c r="I31" s="16"/>
      <c r="J31" s="138"/>
      <c r="K31" s="138"/>
      <c r="L31" s="16"/>
      <c r="M31" s="3"/>
      <c r="N31" s="3"/>
    </row>
    <row r="32" spans="1:14" x14ac:dyDescent="0.35">
      <c r="A32" s="4"/>
      <c r="B32" s="12"/>
      <c r="C32" s="13"/>
      <c r="D32" s="13"/>
      <c r="E32" s="3"/>
      <c r="F32" s="3"/>
      <c r="G32" s="12"/>
      <c r="H32" s="16"/>
      <c r="I32" s="16"/>
      <c r="J32" s="138"/>
      <c r="K32" s="138"/>
      <c r="L32" s="16"/>
      <c r="M32" s="3"/>
      <c r="N32" s="3"/>
    </row>
    <row r="33" spans="1:14" x14ac:dyDescent="0.35">
      <c r="A33" s="4"/>
      <c r="B33" s="12"/>
      <c r="C33" s="13"/>
      <c r="D33" s="13"/>
      <c r="E33" s="3"/>
      <c r="F33" s="3"/>
      <c r="G33" s="12"/>
      <c r="H33" s="16"/>
      <c r="I33" s="16"/>
      <c r="J33" s="138"/>
      <c r="K33" s="138"/>
      <c r="L33" s="16"/>
      <c r="M33" s="3"/>
      <c r="N33" s="3"/>
    </row>
    <row r="34" spans="1:14" x14ac:dyDescent="0.35">
      <c r="A34" s="4"/>
      <c r="B34" s="13"/>
      <c r="C34" s="13"/>
      <c r="D34" s="13"/>
      <c r="E34" s="3"/>
      <c r="F34" s="3"/>
      <c r="G34" s="12"/>
      <c r="H34" s="16"/>
      <c r="I34" s="16"/>
      <c r="J34" s="138"/>
      <c r="K34" s="138"/>
      <c r="L34" s="16"/>
      <c r="M34" s="3"/>
      <c r="N34" s="3"/>
    </row>
    <row r="35" spans="1:14" x14ac:dyDescent="0.35">
      <c r="A35" s="4"/>
      <c r="B35" s="12"/>
      <c r="C35" s="13"/>
      <c r="D35" s="13"/>
      <c r="E35" s="3"/>
      <c r="F35" s="3"/>
      <c r="G35" s="12"/>
      <c r="H35" s="16"/>
      <c r="I35" s="16"/>
      <c r="J35" s="138"/>
      <c r="K35" s="138"/>
      <c r="L35" s="16"/>
      <c r="M35" s="3"/>
      <c r="N35" s="3"/>
    </row>
    <row r="36" spans="1:14" x14ac:dyDescent="0.35">
      <c r="A36" s="4"/>
      <c r="B36" s="13"/>
      <c r="C36" s="13"/>
      <c r="D36" s="13"/>
      <c r="E36" s="3"/>
      <c r="F36" s="3"/>
      <c r="G36" s="12"/>
      <c r="H36" s="16"/>
      <c r="I36" s="16"/>
      <c r="J36" s="138"/>
      <c r="K36" s="138"/>
      <c r="L36" s="16"/>
      <c r="M36" s="3"/>
      <c r="N36" s="3"/>
    </row>
    <row r="37" spans="1:14" ht="15" thickBot="1" x14ac:dyDescent="0.4">
      <c r="A37" s="21"/>
      <c r="B37" s="37"/>
      <c r="C37" s="37"/>
      <c r="D37" s="37"/>
      <c r="E37" s="38"/>
      <c r="F37" s="38"/>
      <c r="G37" s="165"/>
      <c r="H37" s="166"/>
      <c r="I37" s="166"/>
      <c r="J37" s="139"/>
      <c r="K37" s="139"/>
      <c r="L37" s="166"/>
      <c r="M37" s="38"/>
      <c r="N37" s="38"/>
    </row>
    <row r="38" spans="1:14" x14ac:dyDescent="0.35">
      <c r="B38" s="40"/>
      <c r="C38" s="41"/>
      <c r="D38" s="41"/>
      <c r="E38" s="2"/>
    </row>
    <row r="39" spans="1:14" x14ac:dyDescent="0.35">
      <c r="B39" s="41"/>
      <c r="C39" s="41"/>
      <c r="D39" s="41"/>
      <c r="E39" s="2"/>
    </row>
    <row r="40" spans="1:14" x14ac:dyDescent="0.35">
      <c r="B40" s="40"/>
      <c r="C40" s="41"/>
      <c r="D40" s="41"/>
      <c r="E40" s="2"/>
    </row>
    <row r="41" spans="1:14" x14ac:dyDescent="0.35">
      <c r="B41" s="41"/>
      <c r="C41" s="41"/>
      <c r="D41" s="41"/>
      <c r="E41" s="2"/>
    </row>
    <row r="42" spans="1:14" x14ac:dyDescent="0.35">
      <c r="B42" s="40"/>
      <c r="C42" s="41"/>
      <c r="D42" s="41"/>
      <c r="E42" s="2"/>
    </row>
    <row r="43" spans="1:14" x14ac:dyDescent="0.35">
      <c r="B43" s="41"/>
      <c r="C43" s="41"/>
      <c r="D43" s="41"/>
      <c r="E43" s="2"/>
    </row>
    <row r="44" spans="1:14" x14ac:dyDescent="0.35">
      <c r="B44" s="40"/>
      <c r="C44" s="41"/>
      <c r="D44" s="41"/>
      <c r="E44" s="2"/>
    </row>
    <row r="45" spans="1:14" x14ac:dyDescent="0.35">
      <c r="B45" s="40"/>
      <c r="C45" s="41"/>
      <c r="D45" s="41"/>
      <c r="E45" s="2"/>
    </row>
    <row r="46" spans="1:14" x14ac:dyDescent="0.35">
      <c r="B46" s="40"/>
      <c r="C46" s="41"/>
      <c r="D46" s="41"/>
      <c r="E46" s="2"/>
    </row>
    <row r="47" spans="1:14" x14ac:dyDescent="0.35">
      <c r="B47" s="41"/>
      <c r="C47" s="41"/>
      <c r="D47" s="41"/>
      <c r="E47" s="2"/>
    </row>
    <row r="48" spans="1:14" x14ac:dyDescent="0.35">
      <c r="B48" s="40"/>
      <c r="C48" s="41"/>
      <c r="D48" s="41"/>
      <c r="E48" s="2"/>
    </row>
    <row r="49" spans="2:5" x14ac:dyDescent="0.35">
      <c r="B49" s="40"/>
      <c r="C49" s="41"/>
      <c r="D49" s="41"/>
      <c r="E49" s="2"/>
    </row>
    <row r="50" spans="2:5" x14ac:dyDescent="0.35">
      <c r="B50" s="41"/>
      <c r="C50" s="41"/>
      <c r="D50" s="41"/>
      <c r="E50" s="2"/>
    </row>
    <row r="51" spans="2:5" x14ac:dyDescent="0.35">
      <c r="B51" s="40"/>
      <c r="C51" s="41"/>
      <c r="D51" s="41"/>
      <c r="E51" s="2"/>
    </row>
    <row r="52" spans="2:5" x14ac:dyDescent="0.35">
      <c r="B52" s="40"/>
      <c r="C52" s="41"/>
      <c r="D52" s="41"/>
      <c r="E52" s="2"/>
    </row>
    <row r="53" spans="2:5" x14ac:dyDescent="0.35">
      <c r="B53" s="41"/>
      <c r="C53" s="41"/>
      <c r="D53" s="41"/>
      <c r="E53" s="2"/>
    </row>
    <row r="54" spans="2:5" x14ac:dyDescent="0.35">
      <c r="B54" s="41"/>
      <c r="C54" s="41"/>
      <c r="D54" s="41"/>
      <c r="E54" s="2"/>
    </row>
    <row r="55" spans="2:5" x14ac:dyDescent="0.35">
      <c r="B55" s="40"/>
      <c r="C55" s="41"/>
      <c r="D55" s="41"/>
      <c r="E55" s="2"/>
    </row>
    <row r="56" spans="2:5" x14ac:dyDescent="0.35">
      <c r="B56" s="41"/>
      <c r="C56" s="41"/>
      <c r="D56" s="41"/>
      <c r="E56" s="2"/>
    </row>
    <row r="57" spans="2:5" x14ac:dyDescent="0.35">
      <c r="B57" s="40"/>
      <c r="C57" s="41"/>
      <c r="D57" s="41"/>
      <c r="E57" s="2"/>
    </row>
    <row r="58" spans="2:5" x14ac:dyDescent="0.35">
      <c r="B58" s="41"/>
      <c r="C58" s="41"/>
      <c r="D58" s="41"/>
      <c r="E58" s="2"/>
    </row>
    <row r="59" spans="2:5" x14ac:dyDescent="0.35">
      <c r="B59" s="40"/>
      <c r="C59" s="41"/>
      <c r="D59" s="41"/>
      <c r="E59" s="2"/>
    </row>
    <row r="60" spans="2:5" x14ac:dyDescent="0.35">
      <c r="B60" s="40"/>
      <c r="C60" s="41"/>
      <c r="D60" s="41"/>
      <c r="E60" s="2"/>
    </row>
    <row r="61" spans="2:5" x14ac:dyDescent="0.35">
      <c r="B61" s="40"/>
      <c r="C61" s="41"/>
      <c r="D61" s="41"/>
      <c r="E61" s="2"/>
    </row>
    <row r="62" spans="2:5" x14ac:dyDescent="0.35">
      <c r="B62" s="41"/>
      <c r="C62" s="41"/>
      <c r="D62" s="41"/>
      <c r="E62" s="2"/>
    </row>
    <row r="63" spans="2:5" x14ac:dyDescent="0.35">
      <c r="B63" s="40"/>
      <c r="C63" s="41"/>
      <c r="D63" s="41"/>
      <c r="E63" s="2"/>
    </row>
    <row r="64" spans="2:5" x14ac:dyDescent="0.35">
      <c r="B64" s="40"/>
      <c r="C64" s="41"/>
      <c r="D64" s="41"/>
      <c r="E64" s="2"/>
    </row>
    <row r="65" spans="2:5" x14ac:dyDescent="0.35">
      <c r="B65" s="41"/>
      <c r="C65" s="41"/>
      <c r="D65" s="41"/>
      <c r="E65" s="2"/>
    </row>
    <row r="66" spans="2:5" x14ac:dyDescent="0.35">
      <c r="B66" s="40"/>
      <c r="C66" s="41"/>
      <c r="D66" s="41"/>
      <c r="E66" s="2"/>
    </row>
    <row r="67" spans="2:5" x14ac:dyDescent="0.35">
      <c r="B67" s="40"/>
      <c r="C67" s="41"/>
      <c r="D67" s="41"/>
      <c r="E67" s="2"/>
    </row>
    <row r="68" spans="2:5" x14ac:dyDescent="0.35">
      <c r="B68" s="40"/>
      <c r="C68" s="41"/>
      <c r="D68" s="41"/>
      <c r="E68" s="2"/>
    </row>
    <row r="69" spans="2:5" x14ac:dyDescent="0.35">
      <c r="B69" s="40"/>
      <c r="C69" s="41"/>
      <c r="D69" s="41"/>
      <c r="E69" s="2"/>
    </row>
    <row r="70" spans="2:5" x14ac:dyDescent="0.35">
      <c r="B70" s="40"/>
      <c r="C70" s="41"/>
      <c r="D70" s="41"/>
      <c r="E70" s="2"/>
    </row>
    <row r="71" spans="2:5" x14ac:dyDescent="0.35">
      <c r="B71" s="41"/>
      <c r="C71" s="41"/>
      <c r="D71" s="41"/>
      <c r="E71" s="2"/>
    </row>
    <row r="72" spans="2:5" x14ac:dyDescent="0.35">
      <c r="B72" s="40"/>
      <c r="C72" s="41"/>
      <c r="D72" s="41"/>
      <c r="E72" s="2"/>
    </row>
    <row r="73" spans="2:5" x14ac:dyDescent="0.35">
      <c r="B73" s="40"/>
      <c r="C73" s="41"/>
      <c r="D73" s="41"/>
      <c r="E73" s="2"/>
    </row>
    <row r="74" spans="2:5" x14ac:dyDescent="0.35">
      <c r="B74" s="41"/>
      <c r="C74" s="41"/>
      <c r="D74" s="41"/>
      <c r="E74" s="2"/>
    </row>
    <row r="75" spans="2:5" x14ac:dyDescent="0.35">
      <c r="B75" s="41"/>
      <c r="C75" s="41"/>
      <c r="D75" s="41"/>
      <c r="E75" s="2"/>
    </row>
    <row r="76" spans="2:5" x14ac:dyDescent="0.35">
      <c r="B76" s="40"/>
      <c r="C76" s="41"/>
      <c r="D76" s="41"/>
      <c r="E76" s="2"/>
    </row>
    <row r="77" spans="2:5" x14ac:dyDescent="0.35">
      <c r="B77" s="41"/>
      <c r="C77" s="41"/>
      <c r="D77" s="41"/>
      <c r="E77" s="2"/>
    </row>
    <row r="78" spans="2:5" x14ac:dyDescent="0.35">
      <c r="B78" s="40"/>
      <c r="C78" s="41"/>
      <c r="D78" s="41"/>
      <c r="E78" s="2"/>
    </row>
    <row r="79" spans="2:5" x14ac:dyDescent="0.35">
      <c r="B79" s="41"/>
      <c r="C79" s="41"/>
      <c r="D79" s="41"/>
      <c r="E79" s="2"/>
    </row>
    <row r="80" spans="2:5" x14ac:dyDescent="0.35">
      <c r="B80" s="40"/>
      <c r="C80" s="41"/>
      <c r="D80" s="41"/>
      <c r="E80" s="2"/>
    </row>
    <row r="81" spans="2:5" x14ac:dyDescent="0.35">
      <c r="B81" s="40"/>
      <c r="C81" s="41"/>
      <c r="D81" s="41"/>
      <c r="E81" s="2"/>
    </row>
    <row r="82" spans="2:5" x14ac:dyDescent="0.35">
      <c r="B82" s="41"/>
      <c r="C82" s="41"/>
      <c r="D82" s="41"/>
      <c r="E82" s="2"/>
    </row>
    <row r="83" spans="2:5" x14ac:dyDescent="0.35">
      <c r="B83" s="41"/>
      <c r="C83" s="41"/>
      <c r="D83" s="41"/>
      <c r="E83" s="2"/>
    </row>
    <row r="84" spans="2:5" x14ac:dyDescent="0.35">
      <c r="B84" s="40"/>
      <c r="C84" s="41"/>
      <c r="D84" s="41"/>
      <c r="E84" s="2"/>
    </row>
    <row r="85" spans="2:5" x14ac:dyDescent="0.35">
      <c r="B85" s="40"/>
      <c r="C85" s="41"/>
      <c r="D85" s="41"/>
      <c r="E85" s="2"/>
    </row>
    <row r="86" spans="2:5" x14ac:dyDescent="0.35">
      <c r="B86" s="41"/>
      <c r="C86" s="41"/>
      <c r="D86" s="41"/>
      <c r="E86" s="2"/>
    </row>
    <row r="87" spans="2:5" x14ac:dyDescent="0.35">
      <c r="B87" s="40"/>
      <c r="C87" s="41"/>
      <c r="D87" s="41"/>
      <c r="E87" s="2"/>
    </row>
    <row r="88" spans="2:5" x14ac:dyDescent="0.35">
      <c r="B88" s="40"/>
      <c r="C88" s="41"/>
      <c r="D88" s="41"/>
      <c r="E88" s="2"/>
    </row>
    <row r="89" spans="2:5" x14ac:dyDescent="0.35">
      <c r="B89" s="41"/>
      <c r="C89" s="41"/>
      <c r="D89" s="41"/>
      <c r="E89" s="2"/>
    </row>
    <row r="90" spans="2:5" x14ac:dyDescent="0.35">
      <c r="B90" s="41"/>
      <c r="C90" s="41"/>
      <c r="D90" s="41"/>
      <c r="E90" s="2"/>
    </row>
    <row r="91" spans="2:5" x14ac:dyDescent="0.35">
      <c r="B91" s="40"/>
      <c r="C91" s="41"/>
      <c r="D91" s="41"/>
      <c r="E91" s="2"/>
    </row>
    <row r="92" spans="2:5" x14ac:dyDescent="0.35">
      <c r="B92" s="41"/>
      <c r="C92" s="41"/>
      <c r="D92" s="41"/>
      <c r="E92" s="2"/>
    </row>
    <row r="93" spans="2:5" x14ac:dyDescent="0.35">
      <c r="B93" s="40"/>
      <c r="C93" s="41"/>
      <c r="D93" s="41"/>
      <c r="E93" s="2"/>
    </row>
    <row r="94" spans="2:5" x14ac:dyDescent="0.35">
      <c r="B94" s="40"/>
      <c r="C94" s="41"/>
      <c r="D94" s="41"/>
      <c r="E94" s="2"/>
    </row>
    <row r="95" spans="2:5" x14ac:dyDescent="0.35">
      <c r="B95" s="40"/>
      <c r="D95" s="41"/>
      <c r="E95" s="2"/>
    </row>
    <row r="96" spans="2:5" x14ac:dyDescent="0.35">
      <c r="B96" s="41"/>
      <c r="C96" s="41"/>
      <c r="D96" s="41"/>
      <c r="E96" s="2"/>
    </row>
    <row r="97" spans="2:5" x14ac:dyDescent="0.35">
      <c r="B97" s="40"/>
      <c r="C97" s="41"/>
      <c r="D97" s="41"/>
      <c r="E97" s="2"/>
    </row>
    <row r="98" spans="2:5" x14ac:dyDescent="0.35">
      <c r="B98" s="41"/>
      <c r="C98" s="41"/>
      <c r="D98" s="41"/>
      <c r="E98" s="2"/>
    </row>
    <row r="99" spans="2:5" x14ac:dyDescent="0.35">
      <c r="B99" s="40"/>
      <c r="C99" s="41"/>
      <c r="D99" s="41"/>
      <c r="E99" s="2"/>
    </row>
    <row r="100" spans="2:5" x14ac:dyDescent="0.35">
      <c r="B100" s="41"/>
      <c r="C100" s="41"/>
      <c r="D100" s="41"/>
      <c r="E100" s="2"/>
    </row>
    <row r="101" spans="2:5" x14ac:dyDescent="0.35">
      <c r="B101" s="40"/>
      <c r="C101" s="41"/>
      <c r="D101" s="41"/>
      <c r="E101" s="2"/>
    </row>
    <row r="102" spans="2:5" x14ac:dyDescent="0.35">
      <c r="B102" s="41"/>
      <c r="C102" s="41"/>
      <c r="D102" s="41"/>
      <c r="E102" s="2"/>
    </row>
    <row r="103" spans="2:5" x14ac:dyDescent="0.35">
      <c r="B103" s="41"/>
      <c r="C103" s="41"/>
      <c r="D103" s="41"/>
      <c r="E103" s="2"/>
    </row>
    <row r="104" spans="2:5" x14ac:dyDescent="0.35">
      <c r="B104" s="40"/>
      <c r="C104" s="41"/>
      <c r="D104" s="41"/>
      <c r="E104" s="2"/>
    </row>
    <row r="105" spans="2:5" x14ac:dyDescent="0.35">
      <c r="B105" s="41"/>
      <c r="C105" s="41"/>
      <c r="D105" s="41"/>
      <c r="E105" s="2"/>
    </row>
    <row r="106" spans="2:5" x14ac:dyDescent="0.35">
      <c r="B106" s="40"/>
      <c r="C106" s="41"/>
      <c r="D106" s="41"/>
      <c r="E106" s="2"/>
    </row>
    <row r="107" spans="2:5" x14ac:dyDescent="0.35">
      <c r="B107" s="40"/>
      <c r="C107" s="41"/>
      <c r="D107" s="41"/>
      <c r="E107" s="2"/>
    </row>
    <row r="108" spans="2:5" x14ac:dyDescent="0.35">
      <c r="B108" s="40"/>
      <c r="C108" s="41"/>
      <c r="D108" s="41"/>
      <c r="E108" s="2"/>
    </row>
    <row r="109" spans="2:5" x14ac:dyDescent="0.35">
      <c r="B109" s="40"/>
      <c r="C109" s="41"/>
      <c r="D109" s="41"/>
      <c r="E109" s="2"/>
    </row>
    <row r="110" spans="2:5" x14ac:dyDescent="0.35">
      <c r="B110" s="41"/>
      <c r="C110" s="41"/>
      <c r="D110" s="41"/>
      <c r="E110" s="2"/>
    </row>
    <row r="111" spans="2:5" x14ac:dyDescent="0.35">
      <c r="B111" s="40"/>
      <c r="C111" s="41"/>
      <c r="D111" s="41"/>
      <c r="E111" s="2"/>
    </row>
    <row r="112" spans="2:5" x14ac:dyDescent="0.35">
      <c r="B112" s="40"/>
      <c r="C112" s="41"/>
      <c r="D112" s="41"/>
      <c r="E112" s="2"/>
    </row>
    <row r="113" spans="2:5" x14ac:dyDescent="0.35">
      <c r="B113" s="40"/>
      <c r="C113" s="41"/>
      <c r="D113" s="41"/>
      <c r="E113" s="2"/>
    </row>
    <row r="114" spans="2:5" x14ac:dyDescent="0.35">
      <c r="B114" s="40"/>
      <c r="C114" s="41"/>
      <c r="D114" s="41"/>
      <c r="E114" s="2"/>
    </row>
    <row r="115" spans="2:5" x14ac:dyDescent="0.35">
      <c r="B115" s="40"/>
      <c r="C115" s="41"/>
      <c r="D115" s="41"/>
      <c r="E115" s="2"/>
    </row>
    <row r="116" spans="2:5" x14ac:dyDescent="0.35">
      <c r="B116" s="41"/>
      <c r="C116" s="41"/>
      <c r="D116" s="41"/>
      <c r="E116" s="2"/>
    </row>
    <row r="117" spans="2:5" x14ac:dyDescent="0.35">
      <c r="B117" s="41"/>
      <c r="C117" s="41"/>
      <c r="D117" s="41"/>
      <c r="E117" s="2"/>
    </row>
    <row r="118" spans="2:5" x14ac:dyDescent="0.35">
      <c r="B118" s="40"/>
      <c r="C118" s="41"/>
      <c r="D118" s="41"/>
      <c r="E118" s="2"/>
    </row>
    <row r="119" spans="2:5" x14ac:dyDescent="0.35">
      <c r="B119" s="41"/>
      <c r="C119" s="41"/>
      <c r="D119" s="41"/>
      <c r="E119" s="2"/>
    </row>
    <row r="120" spans="2:5" x14ac:dyDescent="0.35">
      <c r="B120" s="41"/>
      <c r="C120" s="41"/>
      <c r="D120" s="41"/>
      <c r="E120" s="2"/>
    </row>
    <row r="121" spans="2:5" x14ac:dyDescent="0.35">
      <c r="B121" s="41"/>
      <c r="C121" s="41"/>
      <c r="D121" s="41"/>
      <c r="E121" s="2"/>
    </row>
    <row r="122" spans="2:5" x14ac:dyDescent="0.35">
      <c r="B122" s="41"/>
      <c r="C122" s="41"/>
      <c r="D122" s="41"/>
      <c r="E122" s="2"/>
    </row>
    <row r="123" spans="2:5" x14ac:dyDescent="0.35">
      <c r="B123" s="41"/>
      <c r="C123" s="41"/>
      <c r="D123" s="41"/>
      <c r="E123" s="2"/>
    </row>
    <row r="124" spans="2:5" x14ac:dyDescent="0.35">
      <c r="B124" s="40"/>
      <c r="C124" s="41"/>
      <c r="D124" s="41"/>
      <c r="E124" s="2"/>
    </row>
    <row r="125" spans="2:5" x14ac:dyDescent="0.35">
      <c r="B125" s="40"/>
      <c r="C125" s="41"/>
      <c r="D125" s="41"/>
      <c r="E125" s="2"/>
    </row>
    <row r="126" spans="2:5" x14ac:dyDescent="0.35">
      <c r="B126" s="41"/>
      <c r="C126" s="41"/>
      <c r="D126" s="41"/>
      <c r="E126" s="2"/>
    </row>
    <row r="127" spans="2:5" x14ac:dyDescent="0.35">
      <c r="B127" s="40"/>
      <c r="D127" s="41"/>
      <c r="E127" s="2"/>
    </row>
    <row r="128" spans="2:5" x14ac:dyDescent="0.35">
      <c r="B128" s="41"/>
      <c r="C128" s="41"/>
      <c r="D128" s="41"/>
      <c r="E128" s="2"/>
    </row>
    <row r="129" spans="2:5" x14ac:dyDescent="0.35">
      <c r="B129" s="40"/>
      <c r="C129" s="41"/>
      <c r="D129" s="41"/>
      <c r="E129" s="2"/>
    </row>
    <row r="130" spans="2:5" x14ac:dyDescent="0.35">
      <c r="B130" s="40"/>
      <c r="C130" s="41"/>
      <c r="D130" s="41"/>
      <c r="E130" s="2"/>
    </row>
    <row r="131" spans="2:5" x14ac:dyDescent="0.35">
      <c r="B131" s="40"/>
      <c r="C131" s="41"/>
      <c r="D131" s="41"/>
      <c r="E131" s="2"/>
    </row>
    <row r="132" spans="2:5" x14ac:dyDescent="0.35">
      <c r="B132" s="40"/>
      <c r="C132" s="41"/>
      <c r="D132" s="41"/>
      <c r="E132" s="2"/>
    </row>
    <row r="133" spans="2:5" x14ac:dyDescent="0.35">
      <c r="B133" s="41"/>
      <c r="C133" s="41"/>
      <c r="D133" s="41"/>
      <c r="E133" s="2"/>
    </row>
    <row r="134" spans="2:5" x14ac:dyDescent="0.35">
      <c r="B134" s="41"/>
      <c r="C134" s="41"/>
      <c r="D134" s="41"/>
      <c r="E134" s="2"/>
    </row>
    <row r="135" spans="2:5" x14ac:dyDescent="0.35">
      <c r="B135" s="40"/>
      <c r="C135" s="41"/>
      <c r="D135" s="41"/>
      <c r="E135" s="2"/>
    </row>
    <row r="136" spans="2:5" x14ac:dyDescent="0.35">
      <c r="B136" s="41"/>
      <c r="C136" s="41"/>
      <c r="D136" s="41"/>
      <c r="E136" s="2"/>
    </row>
    <row r="137" spans="2:5" x14ac:dyDescent="0.35">
      <c r="B137" s="41"/>
      <c r="C137" s="41"/>
      <c r="D137" s="41"/>
      <c r="E137" s="2"/>
    </row>
    <row r="138" spans="2:5" x14ac:dyDescent="0.35">
      <c r="B138" s="40"/>
      <c r="C138" s="41"/>
      <c r="D138" s="41"/>
      <c r="E138" s="2"/>
    </row>
    <row r="139" spans="2:5" x14ac:dyDescent="0.35">
      <c r="B139" s="40"/>
      <c r="C139" s="41"/>
      <c r="D139" s="41"/>
      <c r="E139" s="2"/>
    </row>
    <row r="140" spans="2:5" x14ac:dyDescent="0.35">
      <c r="B140" s="40"/>
      <c r="C140" s="41"/>
      <c r="D140" s="41"/>
      <c r="E140" s="2"/>
    </row>
    <row r="141" spans="2:5" x14ac:dyDescent="0.35">
      <c r="B141" s="40"/>
      <c r="C141" s="41"/>
      <c r="D141" s="41"/>
      <c r="E141" s="2"/>
    </row>
    <row r="142" spans="2:5" x14ac:dyDescent="0.35">
      <c r="B142" s="41"/>
      <c r="C142" s="41"/>
      <c r="D142" s="41"/>
      <c r="E142" s="2"/>
    </row>
    <row r="143" spans="2:5" x14ac:dyDescent="0.35">
      <c r="B143" s="40"/>
      <c r="C143" s="41"/>
      <c r="D143" s="41"/>
      <c r="E143" s="2"/>
    </row>
    <row r="144" spans="2:5" x14ac:dyDescent="0.35">
      <c r="B144" s="41"/>
      <c r="C144" s="41"/>
      <c r="D144" s="41"/>
      <c r="E144" s="2"/>
    </row>
    <row r="145" spans="2:5" x14ac:dyDescent="0.35">
      <c r="B145" s="41"/>
      <c r="C145" s="41"/>
      <c r="D145" s="41"/>
      <c r="E145" s="2"/>
    </row>
    <row r="146" spans="2:5" x14ac:dyDescent="0.35">
      <c r="B146" s="40"/>
      <c r="C146" s="41"/>
      <c r="D146" s="41"/>
      <c r="E146" s="2"/>
    </row>
    <row r="147" spans="2:5" x14ac:dyDescent="0.35">
      <c r="B147" s="41"/>
      <c r="C147" s="41"/>
      <c r="D147" s="41"/>
      <c r="E147" s="2"/>
    </row>
    <row r="148" spans="2:5" x14ac:dyDescent="0.35">
      <c r="B148" s="41"/>
      <c r="C148" s="41"/>
      <c r="D148" s="41"/>
      <c r="E148" s="2"/>
    </row>
    <row r="149" spans="2:5" x14ac:dyDescent="0.35">
      <c r="B149" s="41"/>
      <c r="C149" s="41"/>
      <c r="D149" s="41"/>
      <c r="E149" s="2"/>
    </row>
    <row r="150" spans="2:5" x14ac:dyDescent="0.35">
      <c r="B150" s="40"/>
      <c r="C150" s="41"/>
      <c r="D150" s="41"/>
      <c r="E150" s="2"/>
    </row>
    <row r="151" spans="2:5" x14ac:dyDescent="0.35">
      <c r="B151" s="41"/>
      <c r="C151" s="41"/>
      <c r="D151" s="41"/>
      <c r="E151" s="2"/>
    </row>
    <row r="152" spans="2:5" x14ac:dyDescent="0.35">
      <c r="B152" s="40"/>
      <c r="C152" s="41"/>
      <c r="D152" s="41"/>
      <c r="E152" s="2"/>
    </row>
    <row r="153" spans="2:5" x14ac:dyDescent="0.35">
      <c r="B153" s="40"/>
      <c r="C153" s="41"/>
      <c r="E153" s="2"/>
    </row>
    <row r="154" spans="2:5" x14ac:dyDescent="0.35">
      <c r="B154" s="41"/>
      <c r="C154" s="41"/>
      <c r="D154" s="41"/>
      <c r="E154" s="2"/>
    </row>
    <row r="155" spans="2:5" x14ac:dyDescent="0.35">
      <c r="B155" s="41"/>
      <c r="C155" s="41"/>
      <c r="D155" s="41"/>
      <c r="E155" s="2"/>
    </row>
    <row r="156" spans="2:5" x14ac:dyDescent="0.35">
      <c r="B156" s="41"/>
      <c r="C156" s="41"/>
      <c r="D156" s="41"/>
      <c r="E156" s="2"/>
    </row>
    <row r="157" spans="2:5" x14ac:dyDescent="0.35">
      <c r="B157" s="40"/>
      <c r="C157" s="41"/>
      <c r="D157" s="41"/>
      <c r="E157" s="2"/>
    </row>
    <row r="158" spans="2:5" x14ac:dyDescent="0.35">
      <c r="B158" s="41"/>
      <c r="C158" s="41"/>
      <c r="D158" s="41"/>
      <c r="E158" s="2"/>
    </row>
    <row r="159" spans="2:5" x14ac:dyDescent="0.35">
      <c r="B159" s="41"/>
      <c r="C159" s="41"/>
      <c r="D159" s="41"/>
      <c r="E159" s="2"/>
    </row>
    <row r="160" spans="2:5" x14ac:dyDescent="0.35">
      <c r="B160" s="41"/>
      <c r="C160" s="41"/>
      <c r="D160" s="41"/>
      <c r="E160" s="2"/>
    </row>
    <row r="161" spans="2:5" x14ac:dyDescent="0.35">
      <c r="B161" s="41"/>
      <c r="C161" s="41"/>
      <c r="D161" s="41"/>
      <c r="E161" s="2"/>
    </row>
    <row r="162" spans="2:5" x14ac:dyDescent="0.35">
      <c r="B162" s="41"/>
      <c r="C162" s="41"/>
      <c r="D162" s="41"/>
      <c r="E162" s="2"/>
    </row>
    <row r="163" spans="2:5" x14ac:dyDescent="0.35">
      <c r="B163" s="41"/>
      <c r="C163" s="41"/>
      <c r="D163" s="41"/>
      <c r="E163" s="2"/>
    </row>
    <row r="164" spans="2:5" x14ac:dyDescent="0.35">
      <c r="B164" s="41"/>
      <c r="C164" s="41"/>
      <c r="D164" s="41"/>
      <c r="E164" s="2"/>
    </row>
    <row r="165" spans="2:5" x14ac:dyDescent="0.35">
      <c r="B165" s="41"/>
      <c r="C165" s="41"/>
      <c r="D165" s="41"/>
      <c r="E165" s="2"/>
    </row>
    <row r="166" spans="2:5" x14ac:dyDescent="0.35">
      <c r="B166" s="41"/>
      <c r="C166" s="41"/>
      <c r="D166" s="41"/>
      <c r="E166" s="2"/>
    </row>
    <row r="167" spans="2:5" x14ac:dyDescent="0.35">
      <c r="B167" s="41"/>
      <c r="C167" s="41"/>
      <c r="D167" s="41"/>
      <c r="E167" s="2"/>
    </row>
    <row r="168" spans="2:5" x14ac:dyDescent="0.35">
      <c r="B168" s="41"/>
      <c r="C168" s="41"/>
      <c r="D168" s="41"/>
      <c r="E168" s="2"/>
    </row>
    <row r="169" spans="2:5" x14ac:dyDescent="0.35">
      <c r="B169" s="41"/>
      <c r="C169" s="41"/>
      <c r="D169" s="41"/>
      <c r="E169" s="2"/>
    </row>
    <row r="170" spans="2:5" x14ac:dyDescent="0.35">
      <c r="B170" s="41"/>
      <c r="C170" s="41"/>
      <c r="D170" s="41"/>
      <c r="E170" s="2"/>
    </row>
    <row r="171" spans="2:5" x14ac:dyDescent="0.35">
      <c r="B171" s="40"/>
      <c r="C171" s="41"/>
      <c r="D171" s="41"/>
      <c r="E171" s="2"/>
    </row>
    <row r="172" spans="2:5" x14ac:dyDescent="0.35">
      <c r="B172" s="41"/>
      <c r="C172" s="41"/>
      <c r="D172" s="41"/>
      <c r="E172" s="2"/>
    </row>
    <row r="173" spans="2:5" x14ac:dyDescent="0.35">
      <c r="B173" s="41"/>
      <c r="C173" s="41"/>
      <c r="D173" s="41"/>
      <c r="E173" s="2"/>
    </row>
    <row r="174" spans="2:5" x14ac:dyDescent="0.35">
      <c r="B174" s="40"/>
      <c r="C174" s="41"/>
      <c r="D174" s="41"/>
      <c r="E174" s="2"/>
    </row>
    <row r="175" spans="2:5" x14ac:dyDescent="0.35">
      <c r="B175" s="40"/>
      <c r="C175" s="41"/>
      <c r="D175" s="41"/>
      <c r="E175" s="2"/>
    </row>
    <row r="176" spans="2:5" x14ac:dyDescent="0.35">
      <c r="B176" s="40"/>
      <c r="C176" s="41"/>
      <c r="D176" s="41"/>
      <c r="E176" s="2"/>
    </row>
    <row r="177" spans="2:5" x14ac:dyDescent="0.35">
      <c r="B177" s="40"/>
      <c r="C177" s="41"/>
      <c r="D177" s="41"/>
      <c r="E177" s="2"/>
    </row>
    <row r="178" spans="2:5" x14ac:dyDescent="0.35">
      <c r="B178" s="41"/>
      <c r="C178" s="41"/>
      <c r="D178" s="41"/>
      <c r="E178" s="2"/>
    </row>
    <row r="179" spans="2:5" x14ac:dyDescent="0.35">
      <c r="B179" s="40"/>
      <c r="C179" s="41"/>
      <c r="D179" s="41"/>
      <c r="E179" s="2"/>
    </row>
    <row r="180" spans="2:5" x14ac:dyDescent="0.35">
      <c r="B180" s="40"/>
      <c r="C180" s="41"/>
      <c r="D180" s="41"/>
      <c r="E180" s="2"/>
    </row>
    <row r="181" spans="2:5" x14ac:dyDescent="0.35">
      <c r="B181" s="40"/>
      <c r="C181" s="41"/>
      <c r="D181" s="41"/>
      <c r="E181" s="2"/>
    </row>
    <row r="182" spans="2:5" x14ac:dyDescent="0.35">
      <c r="B182" s="40"/>
      <c r="C182" s="41"/>
      <c r="D182" s="41"/>
      <c r="E182" s="2"/>
    </row>
    <row r="183" spans="2:5" x14ac:dyDescent="0.35">
      <c r="B183" s="41"/>
      <c r="C183" s="41"/>
      <c r="D183" s="41"/>
      <c r="E183" s="2"/>
    </row>
    <row r="184" spans="2:5" x14ac:dyDescent="0.35">
      <c r="B184" s="41"/>
      <c r="C184" s="41"/>
      <c r="D184" s="41"/>
      <c r="E184" s="2"/>
    </row>
    <row r="185" spans="2:5" x14ac:dyDescent="0.35">
      <c r="B185" s="40"/>
      <c r="C185" s="41"/>
      <c r="D185" s="41"/>
      <c r="E185" s="2"/>
    </row>
    <row r="186" spans="2:5" x14ac:dyDescent="0.35">
      <c r="B186" s="40"/>
      <c r="C186" s="41"/>
      <c r="D186" s="41"/>
      <c r="E186" s="2"/>
    </row>
    <row r="187" spans="2:5" x14ac:dyDescent="0.35">
      <c r="B187" s="40"/>
      <c r="C187" s="41"/>
      <c r="D187" s="41"/>
      <c r="E187" s="2"/>
    </row>
    <row r="188" spans="2:5" x14ac:dyDescent="0.35">
      <c r="B188" s="40"/>
      <c r="C188" s="41"/>
      <c r="D188" s="41"/>
      <c r="E188" s="2"/>
    </row>
    <row r="189" spans="2:5" x14ac:dyDescent="0.35">
      <c r="B189" s="41"/>
      <c r="C189" s="41"/>
      <c r="D189" s="41"/>
      <c r="E189" s="2"/>
    </row>
    <row r="190" spans="2:5" x14ac:dyDescent="0.35">
      <c r="B190" s="41"/>
      <c r="C190" s="41"/>
      <c r="D190" s="41"/>
      <c r="E190" s="2"/>
    </row>
    <row r="191" spans="2:5" x14ac:dyDescent="0.35">
      <c r="B191" s="40"/>
      <c r="C191" s="41"/>
      <c r="D191" s="41"/>
      <c r="E191" s="2"/>
    </row>
    <row r="192" spans="2:5" x14ac:dyDescent="0.35">
      <c r="B192" s="41"/>
      <c r="C192" s="41"/>
      <c r="D192" s="41"/>
      <c r="E192" s="2"/>
    </row>
    <row r="193" spans="2:5" x14ac:dyDescent="0.35">
      <c r="B193" s="40"/>
      <c r="C193" s="41"/>
      <c r="D193" s="41"/>
      <c r="E193" s="2"/>
    </row>
    <row r="194" spans="2:5" x14ac:dyDescent="0.35">
      <c r="B194" s="40"/>
      <c r="C194" s="41"/>
      <c r="D194" s="41"/>
      <c r="E194" s="2"/>
    </row>
    <row r="195" spans="2:5" x14ac:dyDescent="0.35">
      <c r="B195" s="40"/>
      <c r="C195" s="41"/>
      <c r="D195" s="41"/>
      <c r="E195" s="2"/>
    </row>
    <row r="196" spans="2:5" x14ac:dyDescent="0.35">
      <c r="B196" s="41"/>
      <c r="C196" s="41"/>
      <c r="D196" s="41"/>
      <c r="E196" s="2"/>
    </row>
    <row r="197" spans="2:5" x14ac:dyDescent="0.35">
      <c r="B197" s="40"/>
      <c r="C197" s="41"/>
      <c r="D197" s="41"/>
      <c r="E197" s="2"/>
    </row>
    <row r="198" spans="2:5" x14ac:dyDescent="0.35">
      <c r="B198" s="40"/>
      <c r="C198" s="41"/>
      <c r="D198" s="41"/>
      <c r="E198" s="2"/>
    </row>
    <row r="199" spans="2:5" x14ac:dyDescent="0.35">
      <c r="B199" s="40"/>
      <c r="C199" s="41"/>
      <c r="D199" s="41"/>
      <c r="E199" s="2"/>
    </row>
    <row r="200" spans="2:5" x14ac:dyDescent="0.35">
      <c r="B200" s="41"/>
      <c r="C200" s="41"/>
      <c r="D200" s="41"/>
      <c r="E200" s="2"/>
    </row>
    <row r="201" spans="2:5" x14ac:dyDescent="0.35">
      <c r="B201" s="40"/>
      <c r="C201" s="41"/>
      <c r="D201" s="41"/>
      <c r="E201" s="2"/>
    </row>
    <row r="202" spans="2:5" x14ac:dyDescent="0.35">
      <c r="B202" s="40"/>
      <c r="C202" s="41"/>
      <c r="D202" s="41"/>
      <c r="E202" s="2"/>
    </row>
    <row r="203" spans="2:5" x14ac:dyDescent="0.35">
      <c r="B203" s="40"/>
      <c r="C203" s="41"/>
      <c r="D203" s="41"/>
      <c r="E203" s="2"/>
    </row>
    <row r="204" spans="2:5" x14ac:dyDescent="0.35">
      <c r="B204" s="40"/>
      <c r="C204" s="41"/>
      <c r="D204" s="41"/>
      <c r="E204" s="2"/>
    </row>
    <row r="205" spans="2:5" x14ac:dyDescent="0.35">
      <c r="B205" s="41"/>
      <c r="C205" s="41"/>
      <c r="D205" s="41"/>
      <c r="E205" s="2"/>
    </row>
    <row r="206" spans="2:5" x14ac:dyDescent="0.35">
      <c r="B206" s="40"/>
      <c r="C206" s="41"/>
      <c r="D206" s="41"/>
      <c r="E206" s="2"/>
    </row>
    <row r="207" spans="2:5" x14ac:dyDescent="0.35">
      <c r="B207" s="40"/>
      <c r="C207" s="41"/>
      <c r="D207" s="41"/>
      <c r="E207" s="2"/>
    </row>
    <row r="208" spans="2:5" x14ac:dyDescent="0.35">
      <c r="B208" s="40"/>
      <c r="C208" s="41"/>
      <c r="D208" s="41"/>
      <c r="E208" s="2"/>
    </row>
    <row r="209" spans="2:5" x14ac:dyDescent="0.35">
      <c r="B209" s="41"/>
      <c r="C209" s="41"/>
      <c r="D209" s="41"/>
      <c r="E209" s="2"/>
    </row>
    <row r="210" spans="2:5" x14ac:dyDescent="0.35">
      <c r="B210" s="40"/>
      <c r="C210" s="41"/>
      <c r="D210" s="41"/>
      <c r="E210" s="2"/>
    </row>
    <row r="211" spans="2:5" x14ac:dyDescent="0.35">
      <c r="B211" s="40"/>
      <c r="C211" s="41"/>
      <c r="D211" s="41"/>
      <c r="E211" s="2"/>
    </row>
    <row r="212" spans="2:5" x14ac:dyDescent="0.35">
      <c r="B212" s="40"/>
      <c r="C212" s="41"/>
      <c r="D212" s="41"/>
      <c r="E212" s="2"/>
    </row>
    <row r="213" spans="2:5" x14ac:dyDescent="0.35">
      <c r="B213" s="40"/>
      <c r="C213" s="41"/>
      <c r="D213" s="41"/>
      <c r="E213" s="2"/>
    </row>
    <row r="214" spans="2:5" x14ac:dyDescent="0.35">
      <c r="B214" s="40"/>
      <c r="C214" s="41"/>
      <c r="D214" s="41"/>
      <c r="E214" s="2"/>
    </row>
    <row r="215" spans="2:5" x14ac:dyDescent="0.35">
      <c r="B215" s="40"/>
      <c r="C215" s="41"/>
      <c r="D215" s="41"/>
      <c r="E215" s="2"/>
    </row>
    <row r="216" spans="2:5" x14ac:dyDescent="0.35">
      <c r="B216" s="41"/>
      <c r="C216" s="41"/>
      <c r="D216" s="41"/>
      <c r="E216" s="2"/>
    </row>
    <row r="217" spans="2:5" x14ac:dyDescent="0.35">
      <c r="B217" s="40"/>
      <c r="C217" s="41"/>
      <c r="D217" s="41"/>
      <c r="E217" s="2"/>
    </row>
    <row r="218" spans="2:5" x14ac:dyDescent="0.35">
      <c r="B218" s="40"/>
      <c r="C218" s="41"/>
      <c r="D218" s="41"/>
      <c r="E218" s="2"/>
    </row>
    <row r="219" spans="2:5" x14ac:dyDescent="0.35">
      <c r="B219" s="41"/>
      <c r="C219" s="41"/>
      <c r="D219" s="41"/>
      <c r="E219" s="2"/>
    </row>
    <row r="220" spans="2:5" x14ac:dyDescent="0.35">
      <c r="B220" s="40"/>
      <c r="C220" s="41"/>
      <c r="D220" s="41"/>
      <c r="E220" s="2"/>
    </row>
    <row r="221" spans="2:5" x14ac:dyDescent="0.35">
      <c r="B221" s="40"/>
      <c r="C221" s="41"/>
      <c r="D221" s="41"/>
      <c r="E221" s="2"/>
    </row>
    <row r="222" spans="2:5" x14ac:dyDescent="0.35">
      <c r="B222" s="41"/>
      <c r="C222" s="41"/>
      <c r="D222" s="41"/>
      <c r="E222" s="2"/>
    </row>
    <row r="223" spans="2:5" x14ac:dyDescent="0.35">
      <c r="B223" s="40"/>
      <c r="C223" s="41"/>
      <c r="D223" s="41"/>
      <c r="E223" s="2"/>
    </row>
    <row r="224" spans="2:5" x14ac:dyDescent="0.35">
      <c r="B224" s="40"/>
      <c r="C224" s="41"/>
      <c r="D224" s="41"/>
      <c r="E224" s="2"/>
    </row>
    <row r="225" spans="2:5" x14ac:dyDescent="0.35">
      <c r="B225" s="41"/>
      <c r="C225" s="41"/>
      <c r="D225" s="41"/>
      <c r="E225" s="2"/>
    </row>
    <row r="226" spans="2:5" x14ac:dyDescent="0.35">
      <c r="B226" s="40"/>
      <c r="C226" s="41"/>
      <c r="D226" s="41"/>
      <c r="E226" s="2"/>
    </row>
    <row r="227" spans="2:5" x14ac:dyDescent="0.35">
      <c r="B227" s="40"/>
      <c r="C227" s="41"/>
      <c r="D227" s="41"/>
      <c r="E227" s="2"/>
    </row>
    <row r="228" spans="2:5" x14ac:dyDescent="0.35">
      <c r="B228" s="40"/>
      <c r="C228" s="41"/>
      <c r="D228" s="41"/>
      <c r="E228" s="2"/>
    </row>
    <row r="229" spans="2:5" x14ac:dyDescent="0.35">
      <c r="B229" s="40"/>
      <c r="C229" s="41"/>
      <c r="D229" s="41"/>
      <c r="E229" s="2"/>
    </row>
    <row r="230" spans="2:5" x14ac:dyDescent="0.35">
      <c r="B230" s="40"/>
      <c r="C230" s="41"/>
      <c r="D230" s="41"/>
      <c r="E230" s="2"/>
    </row>
    <row r="231" spans="2:5" x14ac:dyDescent="0.35">
      <c r="B231" s="40"/>
      <c r="C231" s="41"/>
      <c r="D231" s="41"/>
      <c r="E231" s="2"/>
    </row>
    <row r="232" spans="2:5" x14ac:dyDescent="0.35">
      <c r="B232" s="40"/>
      <c r="C232" s="41"/>
      <c r="D232" s="41"/>
      <c r="E232" s="2"/>
    </row>
    <row r="233" spans="2:5" x14ac:dyDescent="0.35">
      <c r="B233" s="41"/>
      <c r="C233" s="41"/>
      <c r="D233" s="41"/>
      <c r="E233" s="2"/>
    </row>
    <row r="234" spans="2:5" x14ac:dyDescent="0.35">
      <c r="B234" s="40"/>
      <c r="C234" s="41"/>
      <c r="D234" s="41"/>
      <c r="E234" s="2"/>
    </row>
    <row r="235" spans="2:5" x14ac:dyDescent="0.35">
      <c r="B235" s="40"/>
      <c r="C235" s="41"/>
      <c r="D235" s="41"/>
      <c r="E235" s="2"/>
    </row>
    <row r="236" spans="2:5" x14ac:dyDescent="0.35">
      <c r="B236" s="40"/>
      <c r="C236" s="41"/>
      <c r="D236" s="41"/>
      <c r="E236" s="2"/>
    </row>
    <row r="237" spans="2:5" x14ac:dyDescent="0.35">
      <c r="B237" s="40"/>
      <c r="C237" s="41"/>
      <c r="D237" s="41"/>
      <c r="E237" s="2"/>
    </row>
    <row r="238" spans="2:5" x14ac:dyDescent="0.35">
      <c r="B238" s="40"/>
      <c r="C238" s="41"/>
      <c r="D238" s="41"/>
      <c r="E238" s="2"/>
    </row>
    <row r="239" spans="2:5" x14ac:dyDescent="0.35">
      <c r="B239" s="40"/>
      <c r="C239" s="41"/>
      <c r="D239" s="41"/>
      <c r="E239" s="2"/>
    </row>
    <row r="240" spans="2:5" x14ac:dyDescent="0.35">
      <c r="B240" s="40"/>
      <c r="C240" s="41"/>
      <c r="D240" s="41"/>
      <c r="E240" s="2"/>
    </row>
    <row r="241" spans="2:5" x14ac:dyDescent="0.35">
      <c r="B241" s="40"/>
      <c r="C241" s="41"/>
      <c r="D241" s="41"/>
      <c r="E241" s="2"/>
    </row>
    <row r="242" spans="2:5" x14ac:dyDescent="0.35">
      <c r="B242" s="41"/>
      <c r="C242" s="41"/>
      <c r="D242" s="41"/>
      <c r="E242" s="2"/>
    </row>
    <row r="243" spans="2:5" x14ac:dyDescent="0.35">
      <c r="B243" s="40"/>
      <c r="C243" s="41"/>
      <c r="D243" s="41"/>
      <c r="E243" s="2"/>
    </row>
    <row r="244" spans="2:5" x14ac:dyDescent="0.35">
      <c r="B244" s="40"/>
      <c r="C244" s="41"/>
      <c r="D244" s="41"/>
      <c r="E244" s="2"/>
    </row>
    <row r="245" spans="2:5" x14ac:dyDescent="0.35">
      <c r="B245" s="40"/>
      <c r="C245" s="41"/>
      <c r="D245" s="41"/>
      <c r="E245" s="2"/>
    </row>
    <row r="246" spans="2:5" x14ac:dyDescent="0.35">
      <c r="B246" s="41"/>
      <c r="C246" s="41"/>
      <c r="D246" s="41"/>
      <c r="E246" s="2"/>
    </row>
    <row r="247" spans="2:5" x14ac:dyDescent="0.35">
      <c r="B247" s="40"/>
      <c r="C247" s="41"/>
      <c r="D247" s="41"/>
      <c r="E247" s="2"/>
    </row>
    <row r="248" spans="2:5" x14ac:dyDescent="0.35">
      <c r="B248" s="41"/>
      <c r="C248" s="41"/>
      <c r="D248" s="41"/>
      <c r="E248" s="2"/>
    </row>
    <row r="249" spans="2:5" x14ac:dyDescent="0.35">
      <c r="B249" s="41"/>
      <c r="C249" s="41"/>
      <c r="D249" s="41"/>
      <c r="E249" s="2"/>
    </row>
    <row r="250" spans="2:5" x14ac:dyDescent="0.35">
      <c r="B250" s="40"/>
      <c r="C250" s="41"/>
      <c r="D250" s="41"/>
      <c r="E250" s="2"/>
    </row>
    <row r="251" spans="2:5" x14ac:dyDescent="0.35">
      <c r="B251" s="40"/>
      <c r="C251" s="41"/>
      <c r="D251" s="41"/>
      <c r="E251" s="2"/>
    </row>
    <row r="252" spans="2:5" x14ac:dyDescent="0.35">
      <c r="B252" s="40"/>
      <c r="C252" s="41"/>
      <c r="D252" s="41"/>
      <c r="E252" s="2"/>
    </row>
    <row r="253" spans="2:5" x14ac:dyDescent="0.35">
      <c r="B253" s="40"/>
      <c r="C253" s="41"/>
      <c r="D253" s="41"/>
      <c r="E253" s="2"/>
    </row>
    <row r="254" spans="2:5" x14ac:dyDescent="0.35">
      <c r="B254" s="41"/>
      <c r="C254" s="41"/>
      <c r="D254" s="41"/>
      <c r="E254" s="2"/>
    </row>
    <row r="255" spans="2:5" x14ac:dyDescent="0.35">
      <c r="B255" s="40"/>
      <c r="C255" s="41"/>
      <c r="D255" s="41"/>
      <c r="E255" s="2"/>
    </row>
    <row r="256" spans="2:5" x14ac:dyDescent="0.35">
      <c r="B256" s="41"/>
      <c r="C256" s="41"/>
      <c r="D256" s="41"/>
      <c r="E256" s="2"/>
    </row>
    <row r="257" spans="2:5" x14ac:dyDescent="0.35">
      <c r="B257" s="40"/>
      <c r="C257" s="41"/>
      <c r="D257" s="41"/>
      <c r="E257" s="2"/>
    </row>
    <row r="258" spans="2:5" x14ac:dyDescent="0.35">
      <c r="B258" s="40"/>
      <c r="C258" s="41"/>
      <c r="D258" s="41"/>
      <c r="E258" s="2"/>
    </row>
    <row r="259" spans="2:5" x14ac:dyDescent="0.35">
      <c r="B259" s="40"/>
      <c r="C259" s="41"/>
      <c r="D259" s="41"/>
      <c r="E259" s="2"/>
    </row>
    <row r="260" spans="2:5" x14ac:dyDescent="0.35">
      <c r="B260" s="41"/>
      <c r="C260" s="41"/>
      <c r="D260" s="41"/>
      <c r="E260" s="2"/>
    </row>
    <row r="261" spans="2:5" x14ac:dyDescent="0.35">
      <c r="B261" s="40"/>
      <c r="C261" s="41"/>
      <c r="D261" s="41"/>
      <c r="E261" s="2"/>
    </row>
    <row r="262" spans="2:5" x14ac:dyDescent="0.35">
      <c r="B262" s="40"/>
      <c r="C262" s="41"/>
      <c r="D262" s="41"/>
      <c r="E262" s="2"/>
    </row>
    <row r="263" spans="2:5" x14ac:dyDescent="0.35">
      <c r="B263" s="40"/>
      <c r="C263" s="41"/>
      <c r="D263" s="41"/>
      <c r="E263" s="2"/>
    </row>
    <row r="264" spans="2:5" x14ac:dyDescent="0.35">
      <c r="B264" s="41"/>
      <c r="C264" s="41"/>
      <c r="D264" s="41"/>
      <c r="E264" s="2"/>
    </row>
    <row r="265" spans="2:5" x14ac:dyDescent="0.35">
      <c r="B265" s="41"/>
      <c r="C265" s="41"/>
      <c r="D265" s="41"/>
      <c r="E265" s="2"/>
    </row>
    <row r="266" spans="2:5" x14ac:dyDescent="0.35">
      <c r="B266" s="40"/>
      <c r="C266" s="41"/>
      <c r="D266" s="41"/>
      <c r="E266" s="2"/>
    </row>
    <row r="267" spans="2:5" x14ac:dyDescent="0.35">
      <c r="B267" s="40"/>
      <c r="C267" s="41"/>
      <c r="D267" s="41"/>
      <c r="E267" s="2"/>
    </row>
    <row r="268" spans="2:5" x14ac:dyDescent="0.35">
      <c r="B268" s="40"/>
      <c r="C268" s="41"/>
      <c r="D268" s="41"/>
      <c r="E268" s="2"/>
    </row>
    <row r="269" spans="2:5" x14ac:dyDescent="0.35">
      <c r="B269" s="40"/>
      <c r="C269" s="41"/>
      <c r="D269" s="41"/>
      <c r="E269" s="2"/>
    </row>
    <row r="270" spans="2:5" x14ac:dyDescent="0.35">
      <c r="B270" s="40"/>
      <c r="C270" s="41"/>
      <c r="D270" s="41"/>
      <c r="E270" s="2"/>
    </row>
    <row r="271" spans="2:5" x14ac:dyDescent="0.35">
      <c r="B271" s="40"/>
      <c r="C271" s="41"/>
      <c r="D271" s="41"/>
      <c r="E271" s="2"/>
    </row>
    <row r="272" spans="2:5" x14ac:dyDescent="0.35">
      <c r="B272" s="41"/>
      <c r="C272" s="41"/>
      <c r="D272" s="41"/>
      <c r="E272" s="2"/>
    </row>
    <row r="273" spans="2:5" x14ac:dyDescent="0.35">
      <c r="B273" s="40"/>
      <c r="C273" s="41"/>
      <c r="D273" s="41"/>
      <c r="E273" s="2"/>
    </row>
    <row r="274" spans="2:5" x14ac:dyDescent="0.35">
      <c r="B274" s="40"/>
      <c r="C274" s="41"/>
      <c r="D274" s="41"/>
      <c r="E274" s="2"/>
    </row>
    <row r="275" spans="2:5" x14ac:dyDescent="0.35">
      <c r="B275" s="41"/>
      <c r="C275" s="41"/>
      <c r="D275" s="41"/>
      <c r="E275" s="2"/>
    </row>
    <row r="276" spans="2:5" x14ac:dyDescent="0.35">
      <c r="B276" s="41"/>
      <c r="C276" s="41"/>
      <c r="D276" s="41"/>
      <c r="E276" s="2"/>
    </row>
    <row r="277" spans="2:5" x14ac:dyDescent="0.35">
      <c r="B277" s="40"/>
      <c r="C277" s="41"/>
      <c r="D277" s="41"/>
      <c r="E277" s="2"/>
    </row>
    <row r="278" spans="2:5" x14ac:dyDescent="0.35">
      <c r="B278" s="41"/>
      <c r="C278" s="41"/>
      <c r="D278" s="41"/>
      <c r="E278" s="2"/>
    </row>
    <row r="279" spans="2:5" x14ac:dyDescent="0.35">
      <c r="B279" s="41"/>
      <c r="C279" s="41"/>
      <c r="D279" s="41"/>
      <c r="E279" s="2"/>
    </row>
    <row r="280" spans="2:5" x14ac:dyDescent="0.35">
      <c r="B280" s="41"/>
      <c r="C280" s="41"/>
      <c r="D280" s="41"/>
      <c r="E280" s="2"/>
    </row>
    <row r="281" spans="2:5" x14ac:dyDescent="0.35">
      <c r="B281" s="41"/>
      <c r="C281" s="41"/>
      <c r="D281" s="41"/>
      <c r="E281" s="2"/>
    </row>
    <row r="282" spans="2:5" x14ac:dyDescent="0.35">
      <c r="B282" s="40"/>
      <c r="C282" s="41"/>
      <c r="D282" s="41"/>
      <c r="E282" s="2"/>
    </row>
    <row r="283" spans="2:5" x14ac:dyDescent="0.35">
      <c r="B283" s="40"/>
      <c r="C283" s="41"/>
      <c r="D283" s="41"/>
      <c r="E283" s="2"/>
    </row>
    <row r="284" spans="2:5" x14ac:dyDescent="0.35">
      <c r="B284" s="41"/>
      <c r="C284" s="41"/>
      <c r="D284" s="41"/>
      <c r="E284" s="2"/>
    </row>
    <row r="285" spans="2:5" x14ac:dyDescent="0.35">
      <c r="B285" s="41"/>
      <c r="C285" s="41"/>
      <c r="D285" s="41"/>
      <c r="E285" s="2"/>
    </row>
    <row r="286" spans="2:5" x14ac:dyDescent="0.35">
      <c r="B286" s="41"/>
      <c r="C286" s="41"/>
      <c r="D286" s="41"/>
      <c r="E286" s="2"/>
    </row>
    <row r="287" spans="2:5" x14ac:dyDescent="0.35">
      <c r="B287" s="40"/>
      <c r="C287" s="41"/>
      <c r="D287" s="41"/>
      <c r="E287" s="2"/>
    </row>
    <row r="288" spans="2:5" x14ac:dyDescent="0.35">
      <c r="B288" s="41"/>
      <c r="C288" s="41"/>
      <c r="D288" s="41"/>
      <c r="E288" s="2"/>
    </row>
    <row r="289" spans="2:5" x14ac:dyDescent="0.35">
      <c r="B289" s="40"/>
      <c r="C289" s="41"/>
      <c r="D289" s="41"/>
      <c r="E289" s="2"/>
    </row>
    <row r="290" spans="2:5" x14ac:dyDescent="0.35">
      <c r="B290" s="41"/>
      <c r="C290" s="41"/>
      <c r="D290" s="41"/>
      <c r="E290" s="2"/>
    </row>
    <row r="291" spans="2:5" x14ac:dyDescent="0.35">
      <c r="B291" s="40"/>
      <c r="C291" s="41"/>
      <c r="D291" s="41"/>
      <c r="E291" s="2"/>
    </row>
    <row r="292" spans="2:5" x14ac:dyDescent="0.35">
      <c r="B292" s="41"/>
      <c r="C292" s="41"/>
      <c r="D292" s="41"/>
      <c r="E292" s="2"/>
    </row>
    <row r="293" spans="2:5" x14ac:dyDescent="0.35">
      <c r="B293" s="40"/>
      <c r="C293" s="41"/>
      <c r="D293" s="41"/>
      <c r="E293" s="2"/>
    </row>
    <row r="294" spans="2:5" x14ac:dyDescent="0.35">
      <c r="B294" s="40"/>
      <c r="C294" s="41"/>
      <c r="D294" s="41"/>
      <c r="E294" s="2"/>
    </row>
    <row r="295" spans="2:5" x14ac:dyDescent="0.35">
      <c r="B295" s="41"/>
      <c r="C295" s="41"/>
      <c r="D295" s="41"/>
      <c r="E295" s="2"/>
    </row>
    <row r="296" spans="2:5" x14ac:dyDescent="0.35">
      <c r="B296" s="41"/>
      <c r="C296" s="41"/>
      <c r="D296" s="41"/>
      <c r="E296" s="2"/>
    </row>
    <row r="297" spans="2:5" x14ac:dyDescent="0.35">
      <c r="B297" s="40"/>
      <c r="C297" s="41"/>
      <c r="D297" s="41"/>
      <c r="E297" s="2"/>
    </row>
    <row r="298" spans="2:5" x14ac:dyDescent="0.35">
      <c r="B298" s="40"/>
      <c r="C298" s="41"/>
      <c r="D298" s="41"/>
      <c r="E298" s="2"/>
    </row>
    <row r="299" spans="2:5" x14ac:dyDescent="0.35">
      <c r="B299" s="40"/>
      <c r="C299" s="41"/>
      <c r="D299" s="41"/>
      <c r="E299" s="2"/>
    </row>
    <row r="300" spans="2:5" x14ac:dyDescent="0.35">
      <c r="B300" s="40"/>
      <c r="C300" s="41"/>
      <c r="D300" s="41"/>
      <c r="E300" s="2"/>
    </row>
    <row r="301" spans="2:5" x14ac:dyDescent="0.35">
      <c r="B301" s="40"/>
      <c r="C301" s="41"/>
      <c r="D301" s="41"/>
      <c r="E301" s="2"/>
    </row>
    <row r="302" spans="2:5" x14ac:dyDescent="0.35">
      <c r="B302" s="41"/>
      <c r="C302" s="41"/>
      <c r="D302" s="41"/>
      <c r="E302" s="2"/>
    </row>
    <row r="303" spans="2:5" x14ac:dyDescent="0.35">
      <c r="B303" s="40"/>
      <c r="C303" s="41"/>
      <c r="D303" s="41"/>
      <c r="E303" s="2"/>
    </row>
    <row r="304" spans="2:5" x14ac:dyDescent="0.35">
      <c r="B304" s="41"/>
      <c r="C304" s="41"/>
      <c r="D304" s="41"/>
      <c r="E304" s="2"/>
    </row>
    <row r="305" spans="2:5" x14ac:dyDescent="0.35">
      <c r="B305" s="40"/>
      <c r="C305" s="41"/>
      <c r="D305" s="41"/>
      <c r="E305" s="2"/>
    </row>
    <row r="306" spans="2:5" x14ac:dyDescent="0.35">
      <c r="B306" s="40"/>
      <c r="C306" s="41"/>
      <c r="D306" s="41"/>
      <c r="E306" s="2"/>
    </row>
    <row r="307" spans="2:5" x14ac:dyDescent="0.35">
      <c r="B307" s="40"/>
      <c r="C307" s="41"/>
      <c r="D307" s="41"/>
      <c r="E307" s="2"/>
    </row>
    <row r="308" spans="2:5" x14ac:dyDescent="0.35">
      <c r="B308" s="40"/>
      <c r="C308" s="41"/>
      <c r="D308" s="41"/>
      <c r="E308" s="2"/>
    </row>
    <row r="309" spans="2:5" x14ac:dyDescent="0.35">
      <c r="B309" s="41"/>
      <c r="C309" s="41"/>
      <c r="D309" s="41"/>
      <c r="E309" s="2"/>
    </row>
    <row r="310" spans="2:5" x14ac:dyDescent="0.35">
      <c r="B310" s="40"/>
      <c r="C310" s="41"/>
      <c r="D310" s="41"/>
      <c r="E310" s="2"/>
    </row>
    <row r="311" spans="2:5" x14ac:dyDescent="0.35">
      <c r="B311" s="40"/>
      <c r="C311" s="41"/>
      <c r="D311" s="41"/>
      <c r="E311" s="2"/>
    </row>
    <row r="312" spans="2:5" x14ac:dyDescent="0.35">
      <c r="B312" s="40"/>
      <c r="C312" s="41"/>
      <c r="D312" s="41"/>
      <c r="E312" s="2"/>
    </row>
    <row r="313" spans="2:5" x14ac:dyDescent="0.35">
      <c r="B313" s="41"/>
      <c r="C313" s="41"/>
      <c r="D313" s="41"/>
      <c r="E313" s="2"/>
    </row>
    <row r="314" spans="2:5" x14ac:dyDescent="0.35">
      <c r="B314" s="40"/>
      <c r="C314" s="41"/>
      <c r="D314" s="41"/>
      <c r="E314" s="2"/>
    </row>
    <row r="315" spans="2:5" x14ac:dyDescent="0.35">
      <c r="B315" s="41"/>
      <c r="C315" s="41"/>
      <c r="D315" s="41"/>
      <c r="E315" s="2"/>
    </row>
    <row r="316" spans="2:5" x14ac:dyDescent="0.35">
      <c r="B316" s="41"/>
      <c r="C316" s="41"/>
      <c r="D316" s="41"/>
      <c r="E316" s="2"/>
    </row>
    <row r="317" spans="2:5" x14ac:dyDescent="0.35">
      <c r="B317" s="41"/>
      <c r="C317" s="41"/>
      <c r="D317" s="41"/>
      <c r="E317" s="2"/>
    </row>
    <row r="318" spans="2:5" x14ac:dyDescent="0.35">
      <c r="B318" s="41"/>
      <c r="C318" s="41"/>
      <c r="D318" s="41"/>
      <c r="E318" s="2"/>
    </row>
    <row r="319" spans="2:5" x14ac:dyDescent="0.35">
      <c r="B319" s="40"/>
      <c r="C319" s="41"/>
      <c r="D319" s="41"/>
      <c r="E319" s="2"/>
    </row>
    <row r="320" spans="2:5" x14ac:dyDescent="0.35">
      <c r="B320" s="41"/>
      <c r="C320" s="41"/>
      <c r="D320" s="41"/>
      <c r="E320" s="2"/>
    </row>
    <row r="321" spans="2:5" x14ac:dyDescent="0.35">
      <c r="B321" s="40"/>
      <c r="C321" s="41"/>
      <c r="D321" s="41"/>
      <c r="E321" s="2"/>
    </row>
    <row r="322" spans="2:5" x14ac:dyDescent="0.35">
      <c r="B322" s="40"/>
      <c r="C322" s="41"/>
      <c r="D322" s="41"/>
      <c r="E322" s="2"/>
    </row>
    <row r="323" spans="2:5" x14ac:dyDescent="0.35">
      <c r="B323" s="40"/>
      <c r="C323" s="41"/>
      <c r="D323" s="41"/>
      <c r="E323" s="2"/>
    </row>
    <row r="324" spans="2:5" x14ac:dyDescent="0.35">
      <c r="B324" s="40"/>
      <c r="C324" s="41"/>
      <c r="D324" s="41"/>
      <c r="E324" s="2"/>
    </row>
    <row r="325" spans="2:5" x14ac:dyDescent="0.35">
      <c r="B325" s="40"/>
      <c r="C325" s="41"/>
      <c r="D325" s="41"/>
      <c r="E325" s="2"/>
    </row>
    <row r="326" spans="2:5" x14ac:dyDescent="0.35">
      <c r="B326" s="40"/>
      <c r="C326" s="41"/>
      <c r="D326" s="41"/>
      <c r="E326" s="2"/>
    </row>
    <row r="327" spans="2:5" x14ac:dyDescent="0.35">
      <c r="B327" s="41"/>
      <c r="C327" s="41"/>
      <c r="D327" s="41"/>
      <c r="E327" s="2"/>
    </row>
    <row r="328" spans="2:5" x14ac:dyDescent="0.35">
      <c r="B328" s="41"/>
      <c r="C328" s="41"/>
      <c r="D328" s="41"/>
      <c r="E328" s="2"/>
    </row>
    <row r="329" spans="2:5" x14ac:dyDescent="0.35">
      <c r="B329" s="40"/>
      <c r="C329" s="41"/>
      <c r="D329" s="41"/>
      <c r="E329" s="2"/>
    </row>
    <row r="330" spans="2:5" x14ac:dyDescent="0.35">
      <c r="B330" s="40"/>
      <c r="C330" s="41"/>
      <c r="D330" s="41"/>
      <c r="E330" s="2"/>
    </row>
    <row r="331" spans="2:5" x14ac:dyDescent="0.35">
      <c r="B331" s="40"/>
      <c r="C331" s="41"/>
      <c r="D331" s="41"/>
      <c r="E331" s="2"/>
    </row>
    <row r="332" spans="2:5" x14ac:dyDescent="0.35">
      <c r="B332" s="40"/>
      <c r="C332" s="41"/>
      <c r="D332" s="41"/>
      <c r="E332" s="2"/>
    </row>
    <row r="333" spans="2:5" x14ac:dyDescent="0.35">
      <c r="B333" s="40"/>
      <c r="C333" s="41"/>
      <c r="D333" s="41"/>
      <c r="E333" s="2"/>
    </row>
    <row r="334" spans="2:5" x14ac:dyDescent="0.35">
      <c r="B334" s="40"/>
      <c r="C334" s="41"/>
      <c r="D334" s="41"/>
      <c r="E334" s="2"/>
    </row>
    <row r="335" spans="2:5" x14ac:dyDescent="0.35">
      <c r="B335" s="40"/>
      <c r="C335" s="41"/>
      <c r="D335" s="41"/>
      <c r="E335" s="2"/>
    </row>
    <row r="336" spans="2:5" x14ac:dyDescent="0.35">
      <c r="B336" s="40"/>
      <c r="C336" s="41"/>
      <c r="D336" s="41"/>
      <c r="E336" s="2"/>
    </row>
    <row r="337" spans="2:5" x14ac:dyDescent="0.35">
      <c r="B337" s="40"/>
      <c r="C337" s="41"/>
      <c r="D337" s="41"/>
      <c r="E337" s="2"/>
    </row>
    <row r="338" spans="2:5" x14ac:dyDescent="0.35">
      <c r="B338" s="41"/>
      <c r="C338" s="41"/>
      <c r="D338" s="41"/>
      <c r="E338" s="2"/>
    </row>
    <row r="339" spans="2:5" x14ac:dyDescent="0.35">
      <c r="B339" s="40"/>
      <c r="C339" s="41"/>
      <c r="D339" s="41"/>
      <c r="E339" s="2"/>
    </row>
    <row r="340" spans="2:5" x14ac:dyDescent="0.35">
      <c r="B340" s="40"/>
      <c r="C340" s="41"/>
      <c r="D340" s="41"/>
      <c r="E340" s="2"/>
    </row>
    <row r="341" spans="2:5" x14ac:dyDescent="0.35">
      <c r="B341" s="40"/>
      <c r="C341" s="41"/>
      <c r="D341" s="41"/>
      <c r="E341" s="2"/>
    </row>
    <row r="342" spans="2:5" x14ac:dyDescent="0.35">
      <c r="B342" s="41"/>
      <c r="C342" s="41"/>
      <c r="D342" s="41"/>
      <c r="E342" s="2"/>
    </row>
    <row r="343" spans="2:5" x14ac:dyDescent="0.35">
      <c r="B343" s="40"/>
      <c r="C343" s="41"/>
      <c r="D343" s="41"/>
      <c r="E343" s="2"/>
    </row>
    <row r="344" spans="2:5" x14ac:dyDescent="0.35">
      <c r="B344" s="40"/>
      <c r="C344" s="41"/>
      <c r="D344" s="41"/>
      <c r="E344" s="2"/>
    </row>
    <row r="345" spans="2:5" x14ac:dyDescent="0.35">
      <c r="B345" s="40"/>
      <c r="C345" s="41"/>
      <c r="D345" s="41"/>
      <c r="E345" s="2"/>
    </row>
    <row r="346" spans="2:5" x14ac:dyDescent="0.35">
      <c r="B346" s="40"/>
      <c r="C346" s="41"/>
      <c r="D346" s="41"/>
      <c r="E346" s="2"/>
    </row>
    <row r="347" spans="2:5" x14ac:dyDescent="0.35">
      <c r="B347" s="40"/>
      <c r="C347" s="41"/>
      <c r="D347" s="41"/>
      <c r="E347" s="2"/>
    </row>
    <row r="348" spans="2:5" x14ac:dyDescent="0.35">
      <c r="B348" s="40"/>
      <c r="C348" s="41"/>
      <c r="D348" s="41"/>
      <c r="E348" s="2"/>
    </row>
    <row r="349" spans="2:5" x14ac:dyDescent="0.35">
      <c r="B349" s="41"/>
      <c r="C349" s="41"/>
      <c r="D349" s="41"/>
      <c r="E349" s="2"/>
    </row>
    <row r="350" spans="2:5" x14ac:dyDescent="0.35">
      <c r="B350" s="40"/>
      <c r="C350" s="41"/>
      <c r="D350" s="41"/>
      <c r="E350" s="2"/>
    </row>
    <row r="351" spans="2:5" x14ac:dyDescent="0.35">
      <c r="B351" s="40"/>
      <c r="C351" s="41"/>
      <c r="D351" s="41"/>
      <c r="E351" s="2"/>
    </row>
    <row r="352" spans="2:5" x14ac:dyDescent="0.35">
      <c r="B352" s="40"/>
      <c r="C352" s="41"/>
      <c r="D352" s="41"/>
      <c r="E352" s="2"/>
    </row>
    <row r="353" spans="2:5" x14ac:dyDescent="0.35">
      <c r="B353" s="40"/>
      <c r="C353" s="41"/>
      <c r="D353" s="41"/>
      <c r="E353" s="2"/>
    </row>
    <row r="354" spans="2:5" x14ac:dyDescent="0.35">
      <c r="B354" s="40"/>
      <c r="C354" s="41"/>
      <c r="D354" s="41"/>
      <c r="E354" s="2"/>
    </row>
    <row r="355" spans="2:5" x14ac:dyDescent="0.35">
      <c r="B355" s="40"/>
      <c r="C355" s="41"/>
      <c r="D355" s="41"/>
      <c r="E355" s="2"/>
    </row>
    <row r="356" spans="2:5" x14ac:dyDescent="0.35">
      <c r="B356" s="40"/>
      <c r="C356" s="41"/>
      <c r="D356" s="41"/>
      <c r="E356" s="2"/>
    </row>
    <row r="357" spans="2:5" x14ac:dyDescent="0.35">
      <c r="B357" s="40"/>
      <c r="C357" s="41"/>
      <c r="D357" s="41"/>
      <c r="E357" s="2"/>
    </row>
    <row r="358" spans="2:5" x14ac:dyDescent="0.35">
      <c r="B358" s="40"/>
      <c r="C358" s="41"/>
      <c r="D358" s="41"/>
      <c r="E358" s="2"/>
    </row>
    <row r="359" spans="2:5" x14ac:dyDescent="0.35">
      <c r="B359" s="40"/>
      <c r="C359" s="41"/>
      <c r="D359" s="41"/>
      <c r="E359" s="2"/>
    </row>
    <row r="360" spans="2:5" x14ac:dyDescent="0.35">
      <c r="B360" s="40"/>
      <c r="C360" s="41"/>
      <c r="D360" s="41"/>
      <c r="E360" s="2"/>
    </row>
    <row r="361" spans="2:5" x14ac:dyDescent="0.35">
      <c r="B361" s="41"/>
      <c r="C361" s="41"/>
      <c r="D361" s="41"/>
      <c r="E361" s="2"/>
    </row>
    <row r="362" spans="2:5" x14ac:dyDescent="0.35">
      <c r="B362" s="41"/>
      <c r="C362" s="41"/>
      <c r="D362" s="41"/>
      <c r="E362" s="2"/>
    </row>
    <row r="363" spans="2:5" x14ac:dyDescent="0.35">
      <c r="B363" s="40"/>
      <c r="C363" s="41"/>
      <c r="D363" s="41"/>
      <c r="E363" s="2"/>
    </row>
    <row r="364" spans="2:5" x14ac:dyDescent="0.35">
      <c r="B364" s="40"/>
      <c r="C364" s="41"/>
      <c r="D364" s="41"/>
      <c r="E364" s="2"/>
    </row>
    <row r="365" spans="2:5" x14ac:dyDescent="0.35">
      <c r="B365" s="40"/>
      <c r="C365" s="41"/>
      <c r="D365" s="41"/>
      <c r="E365" s="2"/>
    </row>
    <row r="366" spans="2:5" x14ac:dyDescent="0.35">
      <c r="B366" s="40"/>
      <c r="C366" s="41"/>
      <c r="D366" s="41"/>
      <c r="E366" s="2"/>
    </row>
    <row r="367" spans="2:5" x14ac:dyDescent="0.35">
      <c r="B367" s="40"/>
      <c r="C367" s="41"/>
      <c r="D367" s="41"/>
      <c r="E367" s="2"/>
    </row>
    <row r="368" spans="2:5" x14ac:dyDescent="0.35">
      <c r="B368" s="40"/>
      <c r="C368" s="41"/>
      <c r="D368" s="41"/>
      <c r="E368" s="2"/>
    </row>
    <row r="369" spans="2:5" x14ac:dyDescent="0.35">
      <c r="B369" s="40"/>
      <c r="C369" s="41"/>
      <c r="D369" s="41"/>
      <c r="E369" s="2"/>
    </row>
    <row r="370" spans="2:5" x14ac:dyDescent="0.35">
      <c r="B370" s="40"/>
      <c r="C370" s="41"/>
      <c r="D370" s="41"/>
      <c r="E370" s="2"/>
    </row>
    <row r="371" spans="2:5" x14ac:dyDescent="0.35">
      <c r="B371" s="41"/>
      <c r="C371" s="41"/>
      <c r="D371" s="41"/>
      <c r="E371" s="2"/>
    </row>
    <row r="372" spans="2:5" x14ac:dyDescent="0.35">
      <c r="B372" s="40"/>
      <c r="C372" s="41"/>
      <c r="D372" s="41"/>
      <c r="E372" s="2"/>
    </row>
    <row r="373" spans="2:5" x14ac:dyDescent="0.35">
      <c r="B373" s="40"/>
      <c r="C373" s="41"/>
      <c r="D373" s="41"/>
      <c r="E373" s="2"/>
    </row>
    <row r="374" spans="2:5" x14ac:dyDescent="0.35">
      <c r="B374" s="40"/>
      <c r="C374" s="41"/>
      <c r="D374" s="41"/>
      <c r="E374" s="2"/>
    </row>
    <row r="375" spans="2:5" x14ac:dyDescent="0.35">
      <c r="B375" s="40"/>
      <c r="C375" s="41"/>
      <c r="D375" s="41"/>
      <c r="E375" s="2"/>
    </row>
    <row r="376" spans="2:5" x14ac:dyDescent="0.35">
      <c r="B376" s="41"/>
      <c r="C376" s="41"/>
      <c r="D376" s="41"/>
      <c r="E376" s="2"/>
    </row>
    <row r="377" spans="2:5" x14ac:dyDescent="0.35">
      <c r="B377" s="40"/>
      <c r="C377" s="41"/>
      <c r="D377" s="41"/>
      <c r="E377" s="2"/>
    </row>
    <row r="378" spans="2:5" x14ac:dyDescent="0.35">
      <c r="B378" s="40"/>
      <c r="C378" s="41"/>
      <c r="D378" s="41"/>
      <c r="E378" s="2"/>
    </row>
    <row r="379" spans="2:5" x14ac:dyDescent="0.35">
      <c r="B379" s="40"/>
      <c r="C379" s="41"/>
      <c r="D379" s="41"/>
      <c r="E379" s="2"/>
    </row>
    <row r="380" spans="2:5" x14ac:dyDescent="0.35">
      <c r="B380" s="41"/>
      <c r="C380" s="41"/>
      <c r="D380" s="41"/>
      <c r="E380" s="2"/>
    </row>
    <row r="381" spans="2:5" x14ac:dyDescent="0.35">
      <c r="B381" s="41"/>
      <c r="C381" s="41"/>
      <c r="D381" s="41"/>
      <c r="E38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3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6350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F5824-3E93-4486-BD4E-8617BBCAC078}">
  <sheetPr codeName="Sheet36">
    <tabColor rgb="FF0070C0"/>
  </sheetPr>
  <dimension ref="A1:I24"/>
  <sheetViews>
    <sheetView workbookViewId="0">
      <pane ySplit="2" topLeftCell="A3" activePane="bottomLeft" state="frozen"/>
      <selection pane="bottomLeft" activeCell="E2" sqref="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 t="str">
        <f>IFERROR(_xlfn.XLOOKUP(A2,'QA WK2'!A:A,'QA WK2'!I:I),"")</f>
        <v/>
      </c>
      <c r="C2" s="94" t="str">
        <f>IFERROR(_xlfn.XLOOKUP(A2,'ME0025 WK2'!A:A,'ME0025 WK2'!J:J),"")</f>
        <v/>
      </c>
      <c r="D2" s="120" t="str">
        <f>IFERROR(C2/$C$23,"")</f>
        <v/>
      </c>
      <c r="E2" s="116" t="str">
        <f>IFERROR(_xlfn.XLOOKUP(A2,'ME0025 WK2'!A:A,'ME0025 WK2'!F:F),"")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Beatriz Alvarado</v>
      </c>
      <c r="B3" s="115" t="str">
        <f>IFERROR(_xlfn.XLOOKUP(A3,'QA WK2'!A:A,'QA WK2'!I:I),"")</f>
        <v/>
      </c>
      <c r="C3" s="94" t="str">
        <f>IFERROR(_xlfn.XLOOKUP(A3,'ME0025 WK2'!A:A,'ME0025 WK2'!J:J),"")</f>
        <v/>
      </c>
      <c r="D3" s="120" t="str">
        <f t="shared" ref="D3:D22" si="1">IFERROR(C3/$C$23,"")</f>
        <v/>
      </c>
      <c r="E3" s="116" t="str">
        <f>IFERROR(_xlfn.XLOOKUP(A3,'ME0025 WK2'!A:A,'ME0025 WK2'!F:F),"")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Rachel Garcia</v>
      </c>
      <c r="B4" s="115" t="str">
        <f>IFERROR(_xlfn.XLOOKUP(A4,'QA WK2'!A:A,'QA WK2'!I:I),"")</f>
        <v/>
      </c>
      <c r="C4" s="94" t="str">
        <f>IFERROR(_xlfn.XLOOKUP(A4,'ME0025 WK2'!A:A,'ME0025 WK2'!J:J),"")</f>
        <v/>
      </c>
      <c r="D4" s="120" t="str">
        <f t="shared" si="1"/>
        <v/>
      </c>
      <c r="E4" s="116" t="str">
        <f>IFERROR(_xlfn.XLOOKUP(A4,'ME0025 WK2'!A:A,'ME0025 WK2'!F:F),"")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Samantha Walker</v>
      </c>
      <c r="B5" s="115" t="str">
        <f>IFERROR(_xlfn.XLOOKUP(A5,'QA WK2'!A:A,'QA WK2'!I:I),"")</f>
        <v/>
      </c>
      <c r="C5" s="94" t="str">
        <f>IFERROR(_xlfn.XLOOKUP(A5,'ME0025 WK2'!A:A,'ME0025 WK2'!J:J),"")</f>
        <v/>
      </c>
      <c r="D5" s="120" t="str">
        <f t="shared" si="1"/>
        <v/>
      </c>
      <c r="E5" s="116" t="str">
        <f>IFERROR(_xlfn.XLOOKUP(A5,'ME0025 WK2'!A:A,'ME0025 WK2'!F:F),"")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Lauren Morgan</v>
      </c>
      <c r="B6" s="115" t="str">
        <f>IFERROR(_xlfn.XLOOKUP(A6,'QA WK2'!A:A,'QA WK2'!I:I),"")</f>
        <v/>
      </c>
      <c r="C6" s="94" t="str">
        <f>IFERROR(_xlfn.XLOOKUP(A6,'ME0025 WK2'!A:A,'ME0025 WK2'!J:J),"")</f>
        <v/>
      </c>
      <c r="D6" s="120" t="str">
        <f t="shared" si="1"/>
        <v/>
      </c>
      <c r="E6" s="116" t="str">
        <f>IFERROR(_xlfn.XLOOKUP(A6,'ME0025 WK2'!A:A,'ME0025 WK2'!F:F),"")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Yazli Yerena</v>
      </c>
      <c r="B7" s="115" t="str">
        <f>IFERROR(_xlfn.XLOOKUP(A7,'QA WK2'!A:A,'QA WK2'!I:I),"")</f>
        <v/>
      </c>
      <c r="C7" s="94" t="str">
        <f>IFERROR(_xlfn.XLOOKUP(A7,'ME0025 WK2'!A:A,'ME0025 WK2'!J:J),"")</f>
        <v/>
      </c>
      <c r="D7" s="120" t="str">
        <f t="shared" si="1"/>
        <v/>
      </c>
      <c r="E7" s="116" t="str">
        <f>IFERROR(_xlfn.XLOOKUP(A7,'ME0025 WK2'!A:A,'ME0025 WK2'!F:F),"")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Erin Underwood</v>
      </c>
      <c r="B8" s="115" t="str">
        <f>IFERROR(_xlfn.XLOOKUP(A8,'QA WK2'!A:A,'QA WK2'!I:I),"")</f>
        <v/>
      </c>
      <c r="C8" s="94" t="str">
        <f>IFERROR(_xlfn.XLOOKUP(A8,'ME0025 WK2'!A:A,'ME0025 WK2'!J:J),"")</f>
        <v/>
      </c>
      <c r="D8" s="120" t="str">
        <f t="shared" si="1"/>
        <v/>
      </c>
      <c r="E8" s="116" t="str">
        <f>IFERROR(_xlfn.XLOOKUP(A8,'ME0025 WK2'!A:A,'ME0025 WK2'!F:F),"")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Yvonne Barbee</v>
      </c>
      <c r="B9" s="115" t="str">
        <f>IFERROR(_xlfn.XLOOKUP(A9,'QA WK2'!A:A,'QA WK2'!I:I),"")</f>
        <v/>
      </c>
      <c r="C9" s="94" t="str">
        <f>IFERROR(_xlfn.XLOOKUP(A9,'ME0025 WK2'!A:A,'ME0025 WK2'!J:J),"")</f>
        <v/>
      </c>
      <c r="D9" s="120" t="str">
        <f t="shared" si="1"/>
        <v/>
      </c>
      <c r="E9" s="116" t="str">
        <f>IFERROR(_xlfn.XLOOKUP(A9,'ME0025 WK2'!A:A,'ME0025 WK2'!F:F),"")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Heather Cash</v>
      </c>
      <c r="B10" s="115" t="str">
        <f>IFERROR(_xlfn.XLOOKUP(A10,'QA WK2'!A:A,'QA WK2'!I:I),"")</f>
        <v/>
      </c>
      <c r="C10" s="94" t="str">
        <f>IFERROR(_xlfn.XLOOKUP(A10,'ME0025 WK2'!A:A,'ME0025 WK2'!J:J),"")</f>
        <v/>
      </c>
      <c r="D10" s="120" t="str">
        <f t="shared" si="1"/>
        <v/>
      </c>
      <c r="E10" s="116" t="str">
        <f>IFERROR(_xlfn.XLOOKUP(A10,'ME0025 WK2'!A:A,'ME0025 WK2'!F:F),"")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Janice Winston</v>
      </c>
      <c r="B11" s="115" t="str">
        <f>IFERROR(_xlfn.XLOOKUP(A11,'QA WK2'!A:A,'QA WK2'!I:I),"")</f>
        <v/>
      </c>
      <c r="C11" s="94" t="str">
        <f>IFERROR(_xlfn.XLOOKUP(A11,'ME0025 WK2'!A:A,'ME0025 WK2'!J:J),"")</f>
        <v/>
      </c>
      <c r="D11" s="120" t="str">
        <f t="shared" si="1"/>
        <v/>
      </c>
      <c r="E11" s="116" t="str">
        <f>IFERROR(_xlfn.XLOOKUP(A11,'ME0025 WK2'!A:A,'ME0025 WK2'!F:F),"")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Antavian Taylor</v>
      </c>
      <c r="B12" s="115" t="str">
        <f>IFERROR(_xlfn.XLOOKUP(A12,'QA WK2'!A:A,'QA WK2'!I:I),"")</f>
        <v/>
      </c>
      <c r="C12" s="94" t="str">
        <f>IFERROR(_xlfn.XLOOKUP(A12,'ME0025 WK2'!A:A,'ME0025 WK2'!J:J),"")</f>
        <v/>
      </c>
      <c r="D12" s="120" t="str">
        <f t="shared" si="1"/>
        <v/>
      </c>
      <c r="E12" s="116" t="str">
        <f>IFERROR(_xlfn.XLOOKUP(A12,'ME0025 WK2'!A:A,'ME0025 WK2'!F:F),"")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Charlincia Montgomery</v>
      </c>
      <c r="B13" s="115" t="str">
        <f>IFERROR(_xlfn.XLOOKUP(A13,'QA WK2'!A:A,'QA WK2'!I:I),"")</f>
        <v/>
      </c>
      <c r="C13" s="94" t="str">
        <f>IFERROR(_xlfn.XLOOKUP(A13,'ME0025 WK2'!A:A,'ME0025 WK2'!J:J),"")</f>
        <v/>
      </c>
      <c r="D13" s="120" t="str">
        <f t="shared" si="1"/>
        <v/>
      </c>
      <c r="E13" s="116" t="str">
        <f>IFERROR(_xlfn.XLOOKUP(A13,'ME0025 WK2'!A:A,'ME0025 WK2'!F:F),"")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Kiarra Grandison</v>
      </c>
      <c r="B14" s="115" t="str">
        <f>IFERROR(_xlfn.XLOOKUP(A14,'QA WK2'!A:A,'QA WK2'!I:I),"")</f>
        <v/>
      </c>
      <c r="C14" s="94" t="str">
        <f>IFERROR(_xlfn.XLOOKUP(A14,'ME0025 WK2'!A:A,'ME0025 WK2'!J:J),"")</f>
        <v/>
      </c>
      <c r="D14" s="120" t="str">
        <f t="shared" si="1"/>
        <v/>
      </c>
      <c r="E14" s="116" t="str">
        <f>IFERROR(_xlfn.XLOOKUP(A14,'ME0025 WK2'!A:A,'ME0025 WK2'!F:F),"")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Keysanah Baldwin</v>
      </c>
      <c r="B15" s="115" t="str">
        <f>IFERROR(_xlfn.XLOOKUP(A15,'QA WK2'!A:A,'QA WK2'!I:I),"")</f>
        <v/>
      </c>
      <c r="C15" s="94" t="str">
        <f>IFERROR(_xlfn.XLOOKUP(A15,'ME0025 WK2'!A:A,'ME0025 WK2'!J:J),"")</f>
        <v/>
      </c>
      <c r="D15" s="120" t="str">
        <f t="shared" si="1"/>
        <v/>
      </c>
      <c r="E15" s="116" t="str">
        <f>IFERROR(_xlfn.XLOOKUP(A15,'ME0025 WK2'!A:A,'ME0025 WK2'!F:F),"")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WK2'!A:A,'QA WK2'!I:I),"")</f>
        <v/>
      </c>
      <c r="C16" s="94" t="str">
        <f>IFERROR(_xlfn.XLOOKUP(A16,'ME0025 WK2'!A:A,'ME0025 WK2'!J:J),"")</f>
        <v/>
      </c>
      <c r="D16" s="120" t="str">
        <f t="shared" si="1"/>
        <v/>
      </c>
      <c r="E16" s="116" t="str">
        <f>IFERROR(_xlfn.XLOOKUP(A16,'ME0025 WK2'!A:A,'ME0025 WK2'!F:F),"")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WK2'!A:A,'QA WK2'!I:I),"")</f>
        <v/>
      </c>
      <c r="C17" s="94" t="str">
        <f>IFERROR(_xlfn.XLOOKUP(A17,'ME0025 WK2'!A:A,'ME0025 WK2'!J:J),"")</f>
        <v/>
      </c>
      <c r="D17" s="120" t="str">
        <f t="shared" si="1"/>
        <v/>
      </c>
      <c r="E17" s="116" t="str">
        <f>IFERROR(_xlfn.XLOOKUP(A17,'ME0025 WK2'!A:A,'ME0025 WK2'!F:F),"")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WK2'!A:A,'QA WK2'!I:I),"")</f>
        <v/>
      </c>
      <c r="C18" s="94" t="str">
        <f>IFERROR(_xlfn.XLOOKUP(A18,'ME0025 WK2'!A:A,'ME0025 WK2'!J:J),"")</f>
        <v/>
      </c>
      <c r="D18" s="120" t="str">
        <f t="shared" si="1"/>
        <v/>
      </c>
      <c r="E18" s="116" t="str">
        <f>IFERROR(_xlfn.XLOOKUP(A18,'ME0025 WK2'!A:A,'ME0025 WK2'!F:F),"")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WK2'!A:A,'QA WK2'!I:I),"")</f>
        <v/>
      </c>
      <c r="C19" s="94" t="str">
        <f>IFERROR(_xlfn.XLOOKUP(A19,'ME0025 WK2'!A:A,'ME0025 WK2'!J:J),"")</f>
        <v/>
      </c>
      <c r="D19" s="120" t="str">
        <f t="shared" si="1"/>
        <v/>
      </c>
      <c r="E19" s="116" t="str">
        <f>IFERROR(_xlfn.XLOOKUP(A19,'ME0025 WK2'!A:A,'ME0025 WK2'!F:F),"")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WK2'!A:A,'QA WK2'!I:I),"")</f>
        <v/>
      </c>
      <c r="C20" s="94" t="str">
        <f>IFERROR(_xlfn.XLOOKUP(A20,'ME0025 WK2'!A:A,'ME0025 WK2'!J:J),"")</f>
        <v/>
      </c>
      <c r="D20" s="120" t="str">
        <f t="shared" si="1"/>
        <v/>
      </c>
      <c r="E20" s="116" t="str">
        <f>IFERROR(_xlfn.XLOOKUP(A20,'ME0025 WK2'!A:A,'ME0025 WK2'!F:F),"")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WK2'!A:A,'QA WK2'!I:I),"")</f>
        <v/>
      </c>
      <c r="C21" s="94" t="str">
        <f>IFERROR(_xlfn.XLOOKUP(A21,'ME0025 WK2'!A:A,'ME0025 WK2'!J:J),"")</f>
        <v/>
      </c>
      <c r="D21" s="120" t="str">
        <f t="shared" si="1"/>
        <v/>
      </c>
      <c r="E21" s="116" t="str">
        <f>IFERROR(_xlfn.XLOOKUP(A21,'ME0025 WK2'!A:A,'ME0025 WK2'!F:F),"")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WK2'!A:A,'QA WK2'!I:I),"")</f>
        <v/>
      </c>
      <c r="C22" s="94" t="str">
        <f>IFERROR(_xlfn.XLOOKUP(A22,'ME0025 WK2'!A:A,'ME0025 WK2'!J:J),"")</f>
        <v/>
      </c>
      <c r="D22" s="120" t="str">
        <f t="shared" si="1"/>
        <v/>
      </c>
      <c r="E22" s="116" t="str">
        <f>IFERROR(_xlfn.XLOOKUP(A22,'ME0025 WK2'!A:A,'ME0025 WK2'!F:F),"")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TxR8KuELtsbhU6+A0lXZR8q5hqGUL55YMbUejRwqoYjAL/kNViJtY5t1HT7H+ypWGLp0Df1ecfA6z5WJYAMgQQ==" saltValue="Mtwb3NanD97C7BQGbNNiN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41A11-D98F-4E9C-8659-B601129B1C48}">
  <sheetPr codeName="Sheet4">
    <tabColor rgb="FF0070C0"/>
  </sheetPr>
  <dimension ref="A1:I30"/>
  <sheetViews>
    <sheetView workbookViewId="0">
      <selection activeCell="B9" sqref="B9:B10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57" t="s">
        <v>54</v>
      </c>
      <c r="F1" s="158" t="s">
        <v>55</v>
      </c>
      <c r="G1" s="158" t="s">
        <v>56</v>
      </c>
      <c r="H1" s="158" t="s">
        <v>57</v>
      </c>
      <c r="I1" s="158" t="s">
        <v>58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 macro="[0]!ClearQA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7A0B-E9FF-4239-AA84-FF976D834699}">
  <sheetPr codeName="Sheet38">
    <tabColor rgb="FF0070C0"/>
  </sheetPr>
  <dimension ref="A1:N381"/>
  <sheetViews>
    <sheetView workbookViewId="0">
      <selection activeCell="D12" sqref="D12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16384" width="9.08984375" style="1"/>
  </cols>
  <sheetData>
    <row r="1" spans="1:14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59" t="s">
        <v>5</v>
      </c>
      <c r="G1" s="159" t="s">
        <v>6</v>
      </c>
      <c r="H1" s="159" t="s">
        <v>59</v>
      </c>
      <c r="I1" s="160" t="s">
        <v>7</v>
      </c>
      <c r="J1" s="161" t="s">
        <v>60</v>
      </c>
      <c r="K1" s="160" t="s">
        <v>8</v>
      </c>
      <c r="L1" s="159" t="s">
        <v>9</v>
      </c>
      <c r="M1" s="159" t="s">
        <v>61</v>
      </c>
      <c r="N1" s="159" t="s">
        <v>62</v>
      </c>
    </row>
    <row r="2" spans="1:14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</row>
    <row r="3" spans="1:14" ht="15" thickBot="1" x14ac:dyDescent="0.4">
      <c r="A3" s="170"/>
      <c r="B3" s="171"/>
      <c r="C3" s="13"/>
      <c r="D3" s="13"/>
      <c r="E3" s="14"/>
      <c r="F3" s="13"/>
      <c r="G3" s="14"/>
      <c r="H3" s="13"/>
      <c r="I3" s="14"/>
      <c r="J3" s="13"/>
      <c r="K3" s="13"/>
      <c r="L3" s="13"/>
      <c r="M3" s="13"/>
      <c r="N3" s="13"/>
    </row>
    <row r="4" spans="1:14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</row>
    <row r="5" spans="1:14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</row>
    <row r="6" spans="1:14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</row>
    <row r="7" spans="1:14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</row>
    <row r="8" spans="1:14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</row>
    <row r="9" spans="1:14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</row>
    <row r="10" spans="1:14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</row>
    <row r="11" spans="1:14" x14ac:dyDescent="0.35">
      <c r="A11" s="4"/>
      <c r="B11" s="12"/>
      <c r="C11" s="13"/>
      <c r="D11" s="13"/>
      <c r="E11" s="14"/>
      <c r="F11" s="13"/>
      <c r="G11" s="14"/>
      <c r="H11" s="13"/>
      <c r="I11" s="14"/>
      <c r="J11" s="13"/>
      <c r="K11" s="13"/>
      <c r="L11" s="13"/>
      <c r="M11" s="13"/>
      <c r="N11" s="13"/>
    </row>
    <row r="12" spans="1:14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</row>
    <row r="13" spans="1:14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</row>
    <row r="14" spans="1:14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</row>
    <row r="15" spans="1:14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</row>
    <row r="16" spans="1:14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</row>
    <row r="17" spans="1:14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</row>
    <row r="18" spans="1:14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</row>
    <row r="19" spans="1:14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</row>
    <row r="20" spans="1:14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</row>
    <row r="21" spans="1:14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</row>
    <row r="22" spans="1:14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</row>
    <row r="23" spans="1:14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</row>
    <row r="24" spans="1:14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</row>
    <row r="25" spans="1:14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</row>
    <row r="26" spans="1:14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</row>
    <row r="27" spans="1:14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</row>
    <row r="28" spans="1:14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</row>
    <row r="29" spans="1:14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</row>
    <row r="30" spans="1:14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</row>
    <row r="31" spans="1:14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</row>
    <row r="32" spans="1:14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</row>
    <row r="33" spans="1:14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</row>
    <row r="34" spans="1:14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</row>
    <row r="35" spans="1:14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</row>
    <row r="36" spans="1:14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</row>
    <row r="37" spans="1:14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</row>
    <row r="38" spans="1:14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</row>
    <row r="39" spans="1:14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</row>
    <row r="40" spans="1:14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</row>
    <row r="41" spans="1:14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</row>
    <row r="42" spans="1:14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</row>
    <row r="43" spans="1:14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</row>
    <row r="44" spans="1:14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</row>
    <row r="45" spans="1:14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</row>
    <row r="46" spans="1:14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</row>
    <row r="47" spans="1:14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</row>
    <row r="48" spans="1:14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</row>
    <row r="49" spans="2:14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</row>
    <row r="50" spans="2:14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</row>
    <row r="51" spans="2:14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</row>
    <row r="52" spans="2:14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</row>
    <row r="53" spans="2:14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</row>
    <row r="54" spans="2:14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</row>
    <row r="55" spans="2:14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</row>
    <row r="56" spans="2:14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</row>
    <row r="57" spans="2:14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</row>
    <row r="58" spans="2:14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</row>
    <row r="59" spans="2:14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</row>
    <row r="60" spans="2:14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</row>
    <row r="61" spans="2:14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</row>
    <row r="62" spans="2:14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</row>
    <row r="63" spans="2:14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</row>
    <row r="64" spans="2:14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</row>
    <row r="65" spans="2:14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</row>
    <row r="66" spans="2:14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</row>
    <row r="67" spans="2:14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</row>
    <row r="68" spans="2:14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</row>
    <row r="69" spans="2:14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</row>
    <row r="70" spans="2:14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</row>
    <row r="71" spans="2:14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</row>
    <row r="72" spans="2:14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</row>
    <row r="73" spans="2:14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</row>
    <row r="74" spans="2:14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</row>
    <row r="75" spans="2:14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</row>
    <row r="76" spans="2:14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</row>
    <row r="77" spans="2:14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</row>
    <row r="78" spans="2:14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</row>
    <row r="79" spans="2:14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</row>
    <row r="80" spans="2:14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</row>
    <row r="81" spans="2:14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</row>
    <row r="82" spans="2:14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</row>
    <row r="83" spans="2:14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</row>
    <row r="84" spans="2:14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</row>
    <row r="85" spans="2:14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</row>
    <row r="86" spans="2:14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</row>
    <row r="87" spans="2:14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</row>
    <row r="88" spans="2:14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</row>
    <row r="89" spans="2:14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</row>
    <row r="90" spans="2:14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</row>
    <row r="91" spans="2:14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</row>
    <row r="92" spans="2:14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</row>
    <row r="93" spans="2:14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</row>
    <row r="94" spans="2:14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</row>
    <row r="95" spans="2:14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</row>
    <row r="96" spans="2:14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</row>
    <row r="97" spans="2:14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</row>
    <row r="98" spans="2:14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</row>
    <row r="99" spans="2:14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</row>
    <row r="100" spans="2:14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</row>
    <row r="101" spans="2:14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</row>
    <row r="102" spans="2:14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</row>
    <row r="103" spans="2:14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</row>
    <row r="104" spans="2:14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</row>
    <row r="105" spans="2:14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</row>
    <row r="106" spans="2:14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</row>
    <row r="107" spans="2:14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</row>
    <row r="108" spans="2:14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</row>
    <row r="109" spans="2:14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</row>
    <row r="110" spans="2:14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</row>
    <row r="111" spans="2:14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</row>
    <row r="112" spans="2:14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</row>
    <row r="113" spans="2:14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</row>
    <row r="114" spans="2:14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</row>
    <row r="115" spans="2:14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</row>
    <row r="116" spans="2:14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</row>
    <row r="117" spans="2:14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</row>
    <row r="118" spans="2:14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</row>
    <row r="119" spans="2:14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</row>
    <row r="120" spans="2:14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</row>
    <row r="121" spans="2:14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</row>
    <row r="122" spans="2:14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</row>
    <row r="123" spans="2:14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</row>
    <row r="124" spans="2:14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</row>
    <row r="125" spans="2:14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</row>
    <row r="126" spans="2:14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</row>
    <row r="127" spans="2:14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</row>
    <row r="128" spans="2:14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</row>
    <row r="129" spans="2:14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</row>
    <row r="130" spans="2:14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</row>
    <row r="131" spans="2:14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</row>
    <row r="132" spans="2:14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</row>
    <row r="133" spans="2:14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</row>
    <row r="134" spans="2:14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</row>
    <row r="135" spans="2:14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</row>
    <row r="136" spans="2:14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</row>
    <row r="137" spans="2:14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</row>
    <row r="138" spans="2:14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</row>
    <row r="139" spans="2:14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</row>
    <row r="140" spans="2:14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</row>
    <row r="141" spans="2:14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</row>
    <row r="142" spans="2:14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</row>
    <row r="143" spans="2:14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</row>
    <row r="144" spans="2:14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</row>
    <row r="145" spans="2:14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</row>
    <row r="146" spans="2:14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</row>
    <row r="147" spans="2:14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</row>
    <row r="148" spans="2:14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</row>
    <row r="149" spans="2:14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</row>
    <row r="150" spans="2:14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</row>
    <row r="151" spans="2:14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</row>
    <row r="152" spans="2:14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</row>
    <row r="153" spans="2:14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</row>
    <row r="154" spans="2:14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</row>
    <row r="155" spans="2:14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</row>
    <row r="156" spans="2:14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</row>
    <row r="157" spans="2:14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</row>
    <row r="158" spans="2:14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</row>
    <row r="159" spans="2:14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</row>
    <row r="160" spans="2:14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</row>
    <row r="161" spans="2:14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</row>
    <row r="162" spans="2:14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</row>
    <row r="163" spans="2:14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</row>
    <row r="164" spans="2:14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</row>
    <row r="165" spans="2:14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</row>
    <row r="166" spans="2:14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</row>
    <row r="167" spans="2:14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</row>
    <row r="168" spans="2:14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</row>
    <row r="169" spans="2:14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</row>
    <row r="170" spans="2:14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</row>
    <row r="171" spans="2:14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</row>
    <row r="172" spans="2:14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</row>
    <row r="173" spans="2:14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</row>
    <row r="174" spans="2:14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</row>
    <row r="175" spans="2:14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</row>
    <row r="176" spans="2:14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</row>
    <row r="177" spans="2:14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</row>
    <row r="178" spans="2:14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</row>
    <row r="179" spans="2:14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</row>
    <row r="180" spans="2:14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</row>
    <row r="181" spans="2:14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</row>
    <row r="182" spans="2:14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</row>
    <row r="183" spans="2:14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</row>
    <row r="184" spans="2:14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</row>
    <row r="185" spans="2:14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</row>
    <row r="186" spans="2:14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</row>
    <row r="187" spans="2:14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</row>
    <row r="188" spans="2:14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</row>
    <row r="189" spans="2:14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</row>
    <row r="190" spans="2:14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</row>
    <row r="191" spans="2:14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</row>
    <row r="192" spans="2:14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</row>
    <row r="193" spans="2:14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</row>
    <row r="194" spans="2:14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</row>
    <row r="195" spans="2:14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</row>
    <row r="196" spans="2:14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</row>
    <row r="197" spans="2:14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</row>
    <row r="198" spans="2:14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</row>
    <row r="199" spans="2:14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</row>
    <row r="200" spans="2:14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</row>
    <row r="201" spans="2:14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</row>
    <row r="202" spans="2:14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</row>
    <row r="203" spans="2:14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</row>
    <row r="204" spans="2:14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</row>
    <row r="205" spans="2:14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</row>
    <row r="206" spans="2:14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</row>
    <row r="207" spans="2:14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</row>
    <row r="208" spans="2:14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</row>
    <row r="209" spans="2:14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</row>
    <row r="210" spans="2:14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</row>
    <row r="211" spans="2:14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</row>
    <row r="212" spans="2:14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</row>
    <row r="213" spans="2:14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</row>
    <row r="214" spans="2:14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</row>
    <row r="215" spans="2:14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</row>
    <row r="216" spans="2:14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</row>
    <row r="217" spans="2:14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</row>
    <row r="218" spans="2:14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</row>
    <row r="219" spans="2:14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</row>
    <row r="220" spans="2:14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</row>
    <row r="221" spans="2:14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</row>
    <row r="222" spans="2:14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</row>
    <row r="223" spans="2:14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</row>
    <row r="224" spans="2:14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</row>
    <row r="225" spans="2:14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</row>
    <row r="226" spans="2:14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</row>
    <row r="227" spans="2:14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</row>
    <row r="228" spans="2:14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</row>
    <row r="229" spans="2:14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</row>
    <row r="230" spans="2:14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</row>
    <row r="231" spans="2:14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</row>
    <row r="232" spans="2:14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</row>
    <row r="233" spans="2:14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</row>
    <row r="234" spans="2:14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</row>
    <row r="235" spans="2:14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</row>
    <row r="236" spans="2:14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</row>
    <row r="237" spans="2:14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</row>
    <row r="238" spans="2:14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</row>
    <row r="239" spans="2:14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</row>
    <row r="240" spans="2:14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</row>
    <row r="241" spans="2:14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</row>
    <row r="242" spans="2:14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</row>
    <row r="243" spans="2:14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</row>
    <row r="244" spans="2:14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</row>
    <row r="245" spans="2:14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</row>
    <row r="246" spans="2:14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</row>
    <row r="247" spans="2:14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</row>
    <row r="248" spans="2:14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</row>
    <row r="249" spans="2:14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</row>
    <row r="250" spans="2:14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</row>
    <row r="251" spans="2:14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</row>
    <row r="252" spans="2:14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</row>
    <row r="253" spans="2:14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</row>
    <row r="254" spans="2:14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</row>
    <row r="255" spans="2:14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</row>
    <row r="256" spans="2:14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</row>
    <row r="257" spans="2:14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</row>
    <row r="258" spans="2:14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</row>
    <row r="259" spans="2:14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</row>
    <row r="260" spans="2:14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</row>
    <row r="261" spans="2:14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</row>
    <row r="262" spans="2:14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</row>
    <row r="263" spans="2:14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</row>
    <row r="264" spans="2:14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</row>
    <row r="265" spans="2:14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</row>
    <row r="266" spans="2:14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</row>
    <row r="267" spans="2:14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</row>
    <row r="268" spans="2:14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</row>
    <row r="269" spans="2:14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</row>
    <row r="270" spans="2:14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</row>
    <row r="271" spans="2:14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</row>
    <row r="272" spans="2:14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</row>
    <row r="273" spans="2:14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</row>
    <row r="274" spans="2:14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</row>
    <row r="275" spans="2:14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</row>
    <row r="276" spans="2:14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</row>
    <row r="277" spans="2:14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</row>
    <row r="278" spans="2:14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</row>
    <row r="279" spans="2:14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</row>
    <row r="280" spans="2:14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</row>
    <row r="281" spans="2:14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</row>
    <row r="282" spans="2:14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</row>
    <row r="283" spans="2:14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</row>
    <row r="284" spans="2:14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</row>
    <row r="285" spans="2:14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</row>
    <row r="286" spans="2:14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</row>
    <row r="287" spans="2:14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</row>
    <row r="288" spans="2:14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</row>
    <row r="289" spans="2:14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</row>
    <row r="290" spans="2:14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</row>
    <row r="291" spans="2:14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</row>
    <row r="292" spans="2:14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</row>
    <row r="293" spans="2:14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</row>
    <row r="294" spans="2:14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</row>
    <row r="295" spans="2:14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</row>
    <row r="296" spans="2:14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</row>
    <row r="297" spans="2:14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</row>
    <row r="298" spans="2:14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</row>
    <row r="299" spans="2:14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</row>
    <row r="300" spans="2:14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</row>
    <row r="301" spans="2:14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</row>
    <row r="302" spans="2:14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</row>
    <row r="303" spans="2:14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</row>
    <row r="304" spans="2:14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</row>
    <row r="305" spans="2:14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</row>
    <row r="306" spans="2:14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</row>
    <row r="307" spans="2:14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</row>
    <row r="308" spans="2:14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</row>
    <row r="309" spans="2:14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</row>
    <row r="310" spans="2:14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</row>
    <row r="311" spans="2:14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</row>
    <row r="312" spans="2:14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</row>
    <row r="313" spans="2:14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</row>
    <row r="314" spans="2:14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</row>
    <row r="315" spans="2:14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</row>
    <row r="316" spans="2:14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</row>
    <row r="317" spans="2:14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</row>
    <row r="318" spans="2:14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</row>
    <row r="319" spans="2:14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</row>
    <row r="320" spans="2:14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</row>
    <row r="321" spans="2:14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</row>
    <row r="322" spans="2:14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</row>
    <row r="323" spans="2:14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</row>
    <row r="324" spans="2:14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</row>
    <row r="325" spans="2:14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</row>
    <row r="326" spans="2:14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</row>
    <row r="327" spans="2:14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</row>
    <row r="328" spans="2:14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</row>
    <row r="329" spans="2:14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</row>
    <row r="330" spans="2:14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</row>
    <row r="331" spans="2:14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</row>
    <row r="332" spans="2:14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</row>
    <row r="333" spans="2:14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</row>
    <row r="334" spans="2:14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</row>
    <row r="335" spans="2:14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</row>
    <row r="336" spans="2:14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</row>
    <row r="337" spans="2:14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</row>
    <row r="338" spans="2:14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</row>
    <row r="339" spans="2:14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</row>
    <row r="340" spans="2:14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</row>
    <row r="341" spans="2:14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</row>
    <row r="342" spans="2:14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</row>
    <row r="343" spans="2:14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</row>
    <row r="344" spans="2:14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</row>
    <row r="345" spans="2:14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</row>
    <row r="346" spans="2:14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</row>
    <row r="347" spans="2:14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</row>
    <row r="348" spans="2:14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</row>
    <row r="349" spans="2:14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</row>
    <row r="350" spans="2:14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</row>
    <row r="351" spans="2:14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</row>
    <row r="352" spans="2:14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</row>
    <row r="353" spans="2:14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</row>
    <row r="354" spans="2:14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</row>
    <row r="355" spans="2:14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</row>
    <row r="356" spans="2:14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</row>
    <row r="357" spans="2:14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</row>
    <row r="358" spans="2:14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</row>
    <row r="359" spans="2:14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</row>
    <row r="360" spans="2:14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</row>
    <row r="361" spans="2:14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</row>
    <row r="362" spans="2:14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</row>
    <row r="363" spans="2:14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</row>
    <row r="364" spans="2:14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</row>
    <row r="365" spans="2:14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</row>
    <row r="366" spans="2:14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</row>
    <row r="367" spans="2:14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</row>
    <row r="368" spans="2:14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</row>
    <row r="369" spans="2:14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</row>
    <row r="370" spans="2:14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</row>
    <row r="371" spans="2:14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</row>
    <row r="372" spans="2:14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</row>
    <row r="373" spans="2:14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</row>
    <row r="374" spans="2:14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</row>
    <row r="375" spans="2:14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</row>
    <row r="376" spans="2:14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</row>
    <row r="377" spans="2:14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</row>
    <row r="378" spans="2:14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</row>
    <row r="379" spans="2:14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</row>
    <row r="380" spans="2:14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</row>
    <row r="381" spans="2:14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3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BF23-95DD-4408-BD33-F022A7E5D141}">
  <sheetPr codeName="Sheet39">
    <tabColor rgb="FF7030A0"/>
  </sheetPr>
  <dimension ref="A1:I24"/>
  <sheetViews>
    <sheetView workbookViewId="0">
      <pane ySplit="2" topLeftCell="A3" activePane="bottomLeft" state="frozen"/>
      <selection pane="bottomLeft" activeCell="B2" sqref="B2: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 t="str">
        <f>IFERROR(_xlfn.XLOOKUP(A2,'QA WK3'!A:A,'QA WK3'!I:I),"")</f>
        <v/>
      </c>
      <c r="C2" s="94" t="str">
        <f>IFERROR(_xlfn.XLOOKUP(A2,'ME0025 WK3'!A:A,'ME0025 WK3'!J:J),"")</f>
        <v/>
      </c>
      <c r="D2" s="120" t="str">
        <f>IFERROR(C2/$C$23,"")</f>
        <v/>
      </c>
      <c r="E2" s="116" t="str">
        <f>IFERROR(_xlfn.XLOOKUP(A2,'ME0025 WK3'!A:A,'ME0025 WK3'!F:F),"")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Beatriz Alvarado</v>
      </c>
      <c r="B3" s="115" t="str">
        <f>IFERROR(_xlfn.XLOOKUP(A3,'QA WK3'!A:A,'QA WK3'!I:I),"")</f>
        <v/>
      </c>
      <c r="C3" s="94" t="str">
        <f>IFERROR(_xlfn.XLOOKUP(A3,'ME0025 WK3'!A:A,'ME0025 WK3'!J:J),"")</f>
        <v/>
      </c>
      <c r="D3" s="120" t="str">
        <f t="shared" ref="D3:D22" si="1">IFERROR(C3/$C$23,"")</f>
        <v/>
      </c>
      <c r="E3" s="116" t="str">
        <f>IFERROR(_xlfn.XLOOKUP(A3,'ME0025 WK3'!A:A,'ME0025 WK3'!F:F),"")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Rachel Garcia</v>
      </c>
      <c r="B4" s="115" t="str">
        <f>IFERROR(_xlfn.XLOOKUP(A4,'QA WK3'!A:A,'QA WK3'!I:I),"")</f>
        <v/>
      </c>
      <c r="C4" s="94" t="str">
        <f>IFERROR(_xlfn.XLOOKUP(A4,'ME0025 WK3'!A:A,'ME0025 WK3'!J:J),"")</f>
        <v/>
      </c>
      <c r="D4" s="120" t="str">
        <f t="shared" si="1"/>
        <v/>
      </c>
      <c r="E4" s="116" t="str">
        <f>IFERROR(_xlfn.XLOOKUP(A4,'ME0025 WK3'!A:A,'ME0025 WK3'!F:F),"")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Samantha Walker</v>
      </c>
      <c r="B5" s="115" t="str">
        <f>IFERROR(_xlfn.XLOOKUP(A5,'QA WK3'!A:A,'QA WK3'!I:I),"")</f>
        <v/>
      </c>
      <c r="C5" s="94" t="str">
        <f>IFERROR(_xlfn.XLOOKUP(A5,'ME0025 WK3'!A:A,'ME0025 WK3'!J:J),"")</f>
        <v/>
      </c>
      <c r="D5" s="120" t="str">
        <f t="shared" si="1"/>
        <v/>
      </c>
      <c r="E5" s="116" t="str">
        <f>IFERROR(_xlfn.XLOOKUP(A5,'ME0025 WK3'!A:A,'ME0025 WK3'!F:F),"")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Lauren Morgan</v>
      </c>
      <c r="B6" s="115" t="str">
        <f>IFERROR(_xlfn.XLOOKUP(A6,'QA WK3'!A:A,'QA WK3'!I:I),"")</f>
        <v/>
      </c>
      <c r="C6" s="94" t="str">
        <f>IFERROR(_xlfn.XLOOKUP(A6,'ME0025 WK3'!A:A,'ME0025 WK3'!J:J),"")</f>
        <v/>
      </c>
      <c r="D6" s="120" t="str">
        <f t="shared" si="1"/>
        <v/>
      </c>
      <c r="E6" s="116" t="str">
        <f>IFERROR(_xlfn.XLOOKUP(A6,'ME0025 WK3'!A:A,'ME0025 WK3'!F:F),"")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Yazli Yerena</v>
      </c>
      <c r="B7" s="115" t="str">
        <f>IFERROR(_xlfn.XLOOKUP(A7,'QA WK3'!A:A,'QA WK3'!I:I),"")</f>
        <v/>
      </c>
      <c r="C7" s="94" t="str">
        <f>IFERROR(_xlfn.XLOOKUP(A7,'ME0025 WK3'!A:A,'ME0025 WK3'!J:J),"")</f>
        <v/>
      </c>
      <c r="D7" s="120" t="str">
        <f t="shared" si="1"/>
        <v/>
      </c>
      <c r="E7" s="116" t="str">
        <f>IFERROR(_xlfn.XLOOKUP(A7,'ME0025 WK3'!A:A,'ME0025 WK3'!F:F),"")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Erin Underwood</v>
      </c>
      <c r="B8" s="115" t="str">
        <f>IFERROR(_xlfn.XLOOKUP(A8,'QA WK3'!A:A,'QA WK3'!I:I),"")</f>
        <v/>
      </c>
      <c r="C8" s="94" t="str">
        <f>IFERROR(_xlfn.XLOOKUP(A8,'ME0025 WK3'!A:A,'ME0025 WK3'!J:J),"")</f>
        <v/>
      </c>
      <c r="D8" s="120" t="str">
        <f t="shared" si="1"/>
        <v/>
      </c>
      <c r="E8" s="116" t="str">
        <f>IFERROR(_xlfn.XLOOKUP(A8,'ME0025 WK3'!A:A,'ME0025 WK3'!F:F),"")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Yvonne Barbee</v>
      </c>
      <c r="B9" s="115" t="str">
        <f>IFERROR(_xlfn.XLOOKUP(A9,'QA WK3'!A:A,'QA WK3'!I:I),"")</f>
        <v/>
      </c>
      <c r="C9" s="94" t="str">
        <f>IFERROR(_xlfn.XLOOKUP(A9,'ME0025 WK3'!A:A,'ME0025 WK3'!J:J),"")</f>
        <v/>
      </c>
      <c r="D9" s="120" t="str">
        <f t="shared" si="1"/>
        <v/>
      </c>
      <c r="E9" s="116" t="str">
        <f>IFERROR(_xlfn.XLOOKUP(A9,'ME0025 WK3'!A:A,'ME0025 WK3'!F:F),"")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Heather Cash</v>
      </c>
      <c r="B10" s="115" t="str">
        <f>IFERROR(_xlfn.XLOOKUP(A10,'QA WK3'!A:A,'QA WK3'!I:I),"")</f>
        <v/>
      </c>
      <c r="C10" s="94" t="str">
        <f>IFERROR(_xlfn.XLOOKUP(A10,'ME0025 WK3'!A:A,'ME0025 WK3'!J:J),"")</f>
        <v/>
      </c>
      <c r="D10" s="120" t="str">
        <f t="shared" si="1"/>
        <v/>
      </c>
      <c r="E10" s="116" t="str">
        <f>IFERROR(_xlfn.XLOOKUP(A10,'ME0025 WK3'!A:A,'ME0025 WK3'!F:F),"")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Janice Winston</v>
      </c>
      <c r="B11" s="115" t="str">
        <f>IFERROR(_xlfn.XLOOKUP(A11,'QA WK3'!A:A,'QA WK3'!I:I),"")</f>
        <v/>
      </c>
      <c r="C11" s="94" t="str">
        <f>IFERROR(_xlfn.XLOOKUP(A11,'ME0025 WK3'!A:A,'ME0025 WK3'!J:J),"")</f>
        <v/>
      </c>
      <c r="D11" s="120" t="str">
        <f t="shared" si="1"/>
        <v/>
      </c>
      <c r="E11" s="116" t="str">
        <f>IFERROR(_xlfn.XLOOKUP(A11,'ME0025 WK3'!A:A,'ME0025 WK3'!F:F),"")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Antavian Taylor</v>
      </c>
      <c r="B12" s="115" t="str">
        <f>IFERROR(_xlfn.XLOOKUP(A12,'QA WK3'!A:A,'QA WK3'!I:I),"")</f>
        <v/>
      </c>
      <c r="C12" s="94" t="str">
        <f>IFERROR(_xlfn.XLOOKUP(A12,'ME0025 WK3'!A:A,'ME0025 WK3'!J:J),"")</f>
        <v/>
      </c>
      <c r="D12" s="120" t="str">
        <f t="shared" si="1"/>
        <v/>
      </c>
      <c r="E12" s="116" t="str">
        <f>IFERROR(_xlfn.XLOOKUP(A12,'ME0025 WK3'!A:A,'ME0025 WK3'!F:F),"")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Charlincia Montgomery</v>
      </c>
      <c r="B13" s="115" t="str">
        <f>IFERROR(_xlfn.XLOOKUP(A13,'QA WK3'!A:A,'QA WK3'!I:I),"")</f>
        <v/>
      </c>
      <c r="C13" s="94" t="str">
        <f>IFERROR(_xlfn.XLOOKUP(A13,'ME0025 WK3'!A:A,'ME0025 WK3'!J:J),"")</f>
        <v/>
      </c>
      <c r="D13" s="120" t="str">
        <f t="shared" si="1"/>
        <v/>
      </c>
      <c r="E13" s="116" t="str">
        <f>IFERROR(_xlfn.XLOOKUP(A13,'ME0025 WK3'!A:A,'ME0025 WK3'!F:F),"")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Kiarra Grandison</v>
      </c>
      <c r="B14" s="115" t="str">
        <f>IFERROR(_xlfn.XLOOKUP(A14,'QA WK3'!A:A,'QA WK3'!I:I),"")</f>
        <v/>
      </c>
      <c r="C14" s="94" t="str">
        <f>IFERROR(_xlfn.XLOOKUP(A14,'ME0025 WK3'!A:A,'ME0025 WK3'!J:J),"")</f>
        <v/>
      </c>
      <c r="D14" s="120" t="str">
        <f t="shared" si="1"/>
        <v/>
      </c>
      <c r="E14" s="116" t="str">
        <f>IFERROR(_xlfn.XLOOKUP(A14,'ME0025 WK3'!A:A,'ME0025 WK3'!F:F),"")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Keysanah Baldwin</v>
      </c>
      <c r="B15" s="115" t="str">
        <f>IFERROR(_xlfn.XLOOKUP(A15,'QA WK3'!A:A,'QA WK3'!I:I),"")</f>
        <v/>
      </c>
      <c r="C15" s="94" t="str">
        <f>IFERROR(_xlfn.XLOOKUP(A15,'ME0025 WK3'!A:A,'ME0025 WK3'!J:J),"")</f>
        <v/>
      </c>
      <c r="D15" s="120" t="str">
        <f t="shared" si="1"/>
        <v/>
      </c>
      <c r="E15" s="116" t="str">
        <f>IFERROR(_xlfn.XLOOKUP(A15,'ME0025 WK3'!A:A,'ME0025 WK3'!F:F),"")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WK3'!A:A,'QA WK3'!I:I),"")</f>
        <v/>
      </c>
      <c r="C16" s="94" t="str">
        <f>IFERROR(_xlfn.XLOOKUP(A16,'ME0025 WK3'!A:A,'ME0025 WK3'!J:J),"")</f>
        <v/>
      </c>
      <c r="D16" s="120" t="str">
        <f t="shared" si="1"/>
        <v/>
      </c>
      <c r="E16" s="116" t="str">
        <f>IFERROR(_xlfn.XLOOKUP(A16,'ME0025 WK3'!A:A,'ME0025 WK3'!F:F),"")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WK3'!A:A,'QA WK3'!I:I),"")</f>
        <v/>
      </c>
      <c r="C17" s="94" t="str">
        <f>IFERROR(_xlfn.XLOOKUP(A17,'ME0025 WK3'!A:A,'ME0025 WK3'!J:J),"")</f>
        <v/>
      </c>
      <c r="D17" s="120" t="str">
        <f t="shared" si="1"/>
        <v/>
      </c>
      <c r="E17" s="116" t="str">
        <f>IFERROR(_xlfn.XLOOKUP(A17,'ME0025 WK3'!A:A,'ME0025 WK3'!F:F),"")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WK3'!A:A,'QA WK3'!I:I),"")</f>
        <v/>
      </c>
      <c r="C18" s="94" t="str">
        <f>IFERROR(_xlfn.XLOOKUP(A18,'ME0025 WK3'!A:A,'ME0025 WK3'!J:J),"")</f>
        <v/>
      </c>
      <c r="D18" s="120" t="str">
        <f t="shared" si="1"/>
        <v/>
      </c>
      <c r="E18" s="116" t="str">
        <f>IFERROR(_xlfn.XLOOKUP(A18,'ME0025 WK3'!A:A,'ME0025 WK3'!F:F),"")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WK3'!A:A,'QA WK3'!I:I),"")</f>
        <v/>
      </c>
      <c r="C19" s="94" t="str">
        <f>IFERROR(_xlfn.XLOOKUP(A19,'ME0025 WK3'!A:A,'ME0025 WK3'!J:J),"")</f>
        <v/>
      </c>
      <c r="D19" s="120" t="str">
        <f t="shared" si="1"/>
        <v/>
      </c>
      <c r="E19" s="116" t="str">
        <f>IFERROR(_xlfn.XLOOKUP(A19,'ME0025 WK3'!A:A,'ME0025 WK3'!F:F),"")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WK3'!A:A,'QA WK3'!I:I),"")</f>
        <v/>
      </c>
      <c r="C20" s="94" t="str">
        <f>IFERROR(_xlfn.XLOOKUP(A20,'ME0025 WK3'!A:A,'ME0025 WK3'!J:J),"")</f>
        <v/>
      </c>
      <c r="D20" s="120" t="str">
        <f t="shared" si="1"/>
        <v/>
      </c>
      <c r="E20" s="116" t="str">
        <f>IFERROR(_xlfn.XLOOKUP(A20,'ME0025 WK3'!A:A,'ME0025 WK3'!F:F),"")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WK3'!A:A,'QA WK3'!I:I),"")</f>
        <v/>
      </c>
      <c r="C21" s="94" t="str">
        <f>IFERROR(_xlfn.XLOOKUP(A21,'ME0025 WK3'!A:A,'ME0025 WK3'!J:J),"")</f>
        <v/>
      </c>
      <c r="D21" s="120" t="str">
        <f t="shared" si="1"/>
        <v/>
      </c>
      <c r="E21" s="116" t="str">
        <f>IFERROR(_xlfn.XLOOKUP(A21,'ME0025 WK3'!A:A,'ME0025 WK3'!F:F),"")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WK3'!A:A,'QA WK3'!I:I),"")</f>
        <v/>
      </c>
      <c r="C22" s="94" t="str">
        <f>IFERROR(_xlfn.XLOOKUP(A22,'ME0025 WK3'!A:A,'ME0025 WK3'!J:J),"")</f>
        <v/>
      </c>
      <c r="D22" s="120" t="str">
        <f t="shared" si="1"/>
        <v/>
      </c>
      <c r="E22" s="116" t="str">
        <f>IFERROR(_xlfn.XLOOKUP(A22,'ME0025 WK3'!A:A,'ME0025 WK3'!F:F),"")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UMi2aOhMecc40q+h+glq7QGnDjBU4DIFU5Cvj/pc2LyxhsfQT8crd0nnF1U7EKzt26Cv6+x6UGKzPLkCB4H60A==" saltValue="pYVyeigljLOiYm9Ds2M8y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4E2A-19E2-4452-8286-BABD369674D1}">
  <sheetPr codeName="Sheet10">
    <tabColor rgb="FF7030A0"/>
  </sheetPr>
  <dimension ref="A1:I30"/>
  <sheetViews>
    <sheetView workbookViewId="0">
      <selection activeCell="B10" sqref="B10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57" t="s">
        <v>54</v>
      </c>
      <c r="F1" s="158" t="s">
        <v>55</v>
      </c>
      <c r="G1" s="158" t="s">
        <v>56</v>
      </c>
      <c r="H1" s="158" t="s">
        <v>57</v>
      </c>
      <c r="I1" s="158" t="s">
        <v>58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ClearQA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DF8D-285A-4BD4-A0E8-AF90C029D430}">
  <sheetPr codeName="Sheet40">
    <tabColor rgb="FF7030A0"/>
  </sheetPr>
  <dimension ref="A1:AB381"/>
  <sheetViews>
    <sheetView workbookViewId="0">
      <selection activeCell="A6" sqref="A6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27" width="9.08984375" style="1"/>
    <col min="28" max="28" width="24.453125" style="1" bestFit="1" customWidth="1"/>
    <col min="29" max="16384" width="9.08984375" style="1"/>
  </cols>
  <sheetData>
    <row r="1" spans="1:28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59" t="s">
        <v>5</v>
      </c>
      <c r="G1" s="159" t="s">
        <v>6</v>
      </c>
      <c r="H1" s="159" t="s">
        <v>59</v>
      </c>
      <c r="I1" s="160" t="s">
        <v>7</v>
      </c>
      <c r="J1" s="161" t="s">
        <v>60</v>
      </c>
      <c r="K1" s="160" t="s">
        <v>8</v>
      </c>
      <c r="L1" s="159" t="s">
        <v>9</v>
      </c>
      <c r="M1" s="159" t="s">
        <v>61</v>
      </c>
      <c r="N1" s="159" t="s">
        <v>62</v>
      </c>
      <c r="O1" s="159"/>
      <c r="P1" s="159"/>
      <c r="Q1" s="159"/>
      <c r="R1" s="159"/>
      <c r="S1" s="159"/>
      <c r="T1" s="161"/>
      <c r="U1" s="161"/>
      <c r="V1" s="159"/>
      <c r="W1" s="159"/>
      <c r="X1" s="159"/>
      <c r="Y1" s="159"/>
      <c r="Z1" s="159"/>
      <c r="AA1" s="159"/>
      <c r="AB1" s="159"/>
    </row>
    <row r="2" spans="1:28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  <c r="O2" s="25"/>
      <c r="P2" s="25"/>
      <c r="Q2" s="26"/>
      <c r="R2" s="25"/>
      <c r="S2" s="27"/>
      <c r="T2" s="28"/>
      <c r="U2" s="24"/>
      <c r="V2" s="24"/>
      <c r="W2" s="24"/>
      <c r="X2" s="24"/>
      <c r="Y2" s="24"/>
      <c r="Z2" s="24"/>
      <c r="AA2" s="24"/>
      <c r="AB2" s="29"/>
    </row>
    <row r="3" spans="1:28" ht="15" thickBot="1" x14ac:dyDescent="0.4">
      <c r="A3" s="170"/>
      <c r="B3" s="171"/>
      <c r="C3" s="13"/>
      <c r="D3" s="13"/>
      <c r="E3" s="14"/>
      <c r="F3" s="13"/>
      <c r="G3" s="14"/>
      <c r="H3" s="13"/>
      <c r="I3" s="14"/>
      <c r="J3" s="13"/>
      <c r="K3" s="13"/>
      <c r="L3" s="13"/>
      <c r="M3" s="13"/>
      <c r="N3" s="13"/>
      <c r="O3" s="15"/>
      <c r="P3" s="15"/>
      <c r="Q3" s="16"/>
      <c r="R3" s="15"/>
      <c r="S3" s="17"/>
      <c r="T3" s="18"/>
      <c r="U3" s="14"/>
      <c r="V3" s="14"/>
      <c r="W3" s="14"/>
      <c r="X3" s="14"/>
      <c r="Y3" s="14"/>
      <c r="Z3" s="14"/>
      <c r="AA3" s="14"/>
      <c r="AB3" s="19"/>
    </row>
    <row r="4" spans="1:28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  <c r="O4" s="15"/>
      <c r="P4" s="15"/>
      <c r="Q4" s="16"/>
      <c r="R4" s="15"/>
      <c r="S4" s="17"/>
      <c r="T4" s="18"/>
      <c r="U4" s="14"/>
      <c r="V4" s="14"/>
      <c r="W4" s="14"/>
      <c r="X4" s="14"/>
      <c r="Y4" s="14"/>
      <c r="Z4" s="14"/>
      <c r="AA4" s="14"/>
      <c r="AB4" s="19"/>
    </row>
    <row r="5" spans="1:28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  <c r="O5" s="15"/>
      <c r="P5" s="15"/>
      <c r="Q5" s="16"/>
      <c r="R5" s="15"/>
      <c r="S5" s="17"/>
      <c r="T5" s="18"/>
      <c r="U5" s="14"/>
      <c r="V5" s="14"/>
      <c r="W5" s="14"/>
      <c r="X5" s="14"/>
      <c r="Y5" s="14"/>
      <c r="Z5" s="14"/>
      <c r="AA5" s="14"/>
      <c r="AB5" s="19"/>
    </row>
    <row r="6" spans="1:28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  <c r="O6" s="15"/>
      <c r="P6" s="15"/>
      <c r="Q6" s="16"/>
      <c r="R6" s="15"/>
      <c r="S6" s="17"/>
      <c r="T6" s="18"/>
      <c r="U6" s="14"/>
      <c r="V6" s="14"/>
      <c r="W6" s="14"/>
      <c r="X6" s="14"/>
      <c r="Y6" s="14"/>
      <c r="Z6" s="14"/>
      <c r="AA6" s="14"/>
      <c r="AB6" s="19"/>
    </row>
    <row r="7" spans="1:28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  <c r="O7" s="15"/>
      <c r="P7" s="15"/>
      <c r="Q7" s="16"/>
      <c r="R7" s="15"/>
      <c r="S7" s="17"/>
      <c r="T7" s="18"/>
      <c r="U7" s="14"/>
      <c r="V7" s="14"/>
      <c r="W7" s="14"/>
      <c r="X7" s="14"/>
      <c r="Y7" s="14"/>
      <c r="Z7" s="14"/>
      <c r="AA7" s="14"/>
      <c r="AB7" s="19"/>
    </row>
    <row r="8" spans="1:28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  <c r="O8" s="15"/>
      <c r="P8" s="15"/>
      <c r="Q8" s="16"/>
      <c r="R8" s="15"/>
      <c r="S8" s="17"/>
      <c r="T8" s="18"/>
      <c r="U8" s="14"/>
      <c r="V8" s="14"/>
      <c r="W8" s="14"/>
      <c r="X8" s="14"/>
      <c r="Y8" s="14"/>
      <c r="Z8" s="14"/>
      <c r="AA8" s="14"/>
      <c r="AB8" s="19"/>
    </row>
    <row r="9" spans="1:28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  <c r="O9" s="15"/>
      <c r="P9" s="15"/>
      <c r="Q9" s="16"/>
      <c r="R9" s="15"/>
      <c r="S9" s="17"/>
      <c r="T9" s="18"/>
      <c r="U9" s="14"/>
      <c r="V9" s="14"/>
      <c r="W9" s="14"/>
      <c r="X9" s="14"/>
      <c r="Y9" s="14"/>
      <c r="Z9" s="14"/>
      <c r="AA9" s="14"/>
      <c r="AB9" s="19"/>
    </row>
    <row r="10" spans="1:28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  <c r="O10" s="15"/>
      <c r="P10" s="15"/>
      <c r="Q10" s="16"/>
      <c r="R10" s="15"/>
      <c r="S10" s="17"/>
      <c r="T10" s="18"/>
      <c r="U10" s="14"/>
      <c r="V10" s="14"/>
      <c r="W10" s="14"/>
      <c r="X10" s="14"/>
      <c r="Y10" s="14"/>
      <c r="Z10" s="14"/>
      <c r="AA10" s="14"/>
      <c r="AB10" s="19"/>
    </row>
    <row r="11" spans="1:28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  <c r="O11" s="15"/>
      <c r="P11" s="15"/>
      <c r="Q11" s="16"/>
      <c r="R11" s="15"/>
      <c r="S11" s="17"/>
      <c r="T11" s="18"/>
      <c r="U11" s="14"/>
      <c r="V11" s="14"/>
      <c r="W11" s="14"/>
      <c r="X11" s="14"/>
      <c r="Y11" s="14"/>
      <c r="Z11" s="14"/>
      <c r="AA11" s="14"/>
      <c r="AB11" s="19"/>
    </row>
    <row r="12" spans="1:28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  <c r="O12" s="15"/>
      <c r="P12" s="15"/>
      <c r="Q12" s="16"/>
      <c r="R12" s="15"/>
      <c r="S12" s="17"/>
      <c r="T12" s="18"/>
      <c r="U12" s="14"/>
      <c r="V12" s="14"/>
      <c r="W12" s="14"/>
      <c r="X12" s="14"/>
      <c r="Y12" s="14"/>
      <c r="Z12" s="14"/>
      <c r="AA12" s="14"/>
      <c r="AB12" s="19"/>
    </row>
    <row r="13" spans="1:28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  <c r="O13" s="15"/>
      <c r="P13" s="15"/>
      <c r="Q13" s="16"/>
      <c r="R13" s="15"/>
      <c r="S13" s="17"/>
      <c r="T13" s="18"/>
      <c r="U13" s="14"/>
      <c r="V13" s="14"/>
      <c r="W13" s="14"/>
      <c r="X13" s="14"/>
      <c r="Y13" s="14"/>
      <c r="Z13" s="14"/>
      <c r="AA13" s="14"/>
      <c r="AB13" s="19"/>
    </row>
    <row r="14" spans="1:28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  <c r="O14" s="15"/>
      <c r="P14" s="15"/>
      <c r="Q14" s="16"/>
      <c r="R14" s="15"/>
      <c r="S14" s="17"/>
      <c r="T14" s="18"/>
      <c r="U14" s="14"/>
      <c r="V14" s="14"/>
      <c r="W14" s="14"/>
      <c r="X14" s="14"/>
      <c r="Y14" s="14"/>
      <c r="Z14" s="14"/>
      <c r="AA14" s="14"/>
      <c r="AB14" s="19"/>
    </row>
    <row r="15" spans="1:28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  <c r="O15" s="15"/>
      <c r="P15" s="15"/>
      <c r="Q15" s="16"/>
      <c r="R15" s="15"/>
      <c r="S15" s="17"/>
      <c r="T15" s="18"/>
      <c r="U15" s="14"/>
      <c r="V15" s="14"/>
      <c r="W15" s="14"/>
      <c r="X15" s="14"/>
      <c r="Y15" s="14"/>
      <c r="Z15" s="14"/>
      <c r="AA15" s="14"/>
      <c r="AB15" s="19"/>
    </row>
    <row r="16" spans="1:28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  <c r="O16" s="15"/>
      <c r="P16" s="15"/>
      <c r="Q16" s="16"/>
      <c r="R16" s="15"/>
      <c r="S16" s="17"/>
      <c r="T16" s="18"/>
      <c r="U16" s="14"/>
      <c r="V16" s="14"/>
      <c r="W16" s="14"/>
      <c r="X16" s="14"/>
      <c r="Y16" s="14"/>
      <c r="Z16" s="14"/>
      <c r="AA16" s="14"/>
      <c r="AB16" s="19"/>
    </row>
    <row r="17" spans="1:28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  <c r="O17" s="15"/>
      <c r="P17" s="15"/>
      <c r="Q17" s="16"/>
      <c r="R17" s="15"/>
      <c r="S17" s="17"/>
      <c r="T17" s="18"/>
      <c r="U17" s="14"/>
      <c r="V17" s="14"/>
      <c r="W17" s="14"/>
      <c r="X17" s="14"/>
      <c r="Y17" s="14"/>
      <c r="Z17" s="14"/>
      <c r="AA17" s="14"/>
      <c r="AB17" s="19"/>
    </row>
    <row r="18" spans="1:28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  <c r="O18" s="15"/>
      <c r="P18" s="15"/>
      <c r="Q18" s="16"/>
      <c r="R18" s="15"/>
      <c r="S18" s="17"/>
      <c r="T18" s="18"/>
      <c r="U18" s="14"/>
      <c r="V18" s="14"/>
      <c r="W18" s="14"/>
      <c r="X18" s="14"/>
      <c r="Y18" s="14"/>
      <c r="Z18" s="14"/>
      <c r="AA18" s="14"/>
      <c r="AB18" s="19"/>
    </row>
    <row r="19" spans="1:28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  <c r="O19" s="15"/>
      <c r="P19" s="15"/>
      <c r="Q19" s="16"/>
      <c r="R19" s="15"/>
      <c r="S19" s="17"/>
      <c r="T19" s="18"/>
      <c r="U19" s="14"/>
      <c r="V19" s="14"/>
      <c r="W19" s="14"/>
      <c r="X19" s="14"/>
      <c r="Y19" s="14"/>
      <c r="Z19" s="14"/>
      <c r="AA19" s="14"/>
      <c r="AB19" s="19"/>
    </row>
    <row r="20" spans="1:28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  <c r="O20" s="15"/>
      <c r="P20" s="15"/>
      <c r="Q20" s="16"/>
      <c r="R20" s="15"/>
      <c r="S20" s="17"/>
      <c r="T20" s="18"/>
      <c r="U20" s="14"/>
      <c r="V20" s="14"/>
      <c r="W20" s="14"/>
      <c r="X20" s="14"/>
      <c r="Y20" s="14"/>
      <c r="Z20" s="14"/>
      <c r="AA20" s="14"/>
      <c r="AB20" s="19"/>
    </row>
    <row r="21" spans="1:28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  <c r="O21" s="15"/>
      <c r="P21" s="15"/>
      <c r="Q21" s="16"/>
      <c r="R21" s="15"/>
      <c r="S21" s="17"/>
      <c r="T21" s="18"/>
      <c r="U21" s="14"/>
      <c r="V21" s="14"/>
      <c r="W21" s="14"/>
      <c r="X21" s="14"/>
      <c r="Y21" s="14"/>
      <c r="Z21" s="14"/>
      <c r="AA21" s="14"/>
      <c r="AB21" s="19"/>
    </row>
    <row r="22" spans="1:28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  <c r="O22" s="15"/>
      <c r="P22" s="15"/>
      <c r="Q22" s="16"/>
      <c r="R22" s="15"/>
      <c r="S22" s="17"/>
      <c r="T22" s="18"/>
      <c r="U22" s="14"/>
      <c r="V22" s="14"/>
      <c r="W22" s="14"/>
      <c r="X22" s="14"/>
      <c r="Y22" s="14"/>
      <c r="Z22" s="14"/>
      <c r="AA22" s="14"/>
      <c r="AB22" s="19"/>
    </row>
    <row r="23" spans="1:28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  <c r="O23" s="20"/>
      <c r="P23" s="20"/>
      <c r="Q23" s="20"/>
      <c r="R23" s="20"/>
      <c r="S23" s="20"/>
      <c r="T23" s="20"/>
      <c r="U23" s="3"/>
      <c r="V23" s="3"/>
      <c r="W23" s="3"/>
      <c r="X23" s="3"/>
      <c r="Y23" s="3"/>
      <c r="Z23" s="3"/>
      <c r="AA23" s="3"/>
      <c r="AB23" s="19"/>
    </row>
    <row r="24" spans="1:28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  <c r="O24" s="20"/>
      <c r="P24" s="20"/>
      <c r="Q24" s="20"/>
      <c r="R24" s="20"/>
      <c r="S24" s="20"/>
      <c r="T24" s="20"/>
      <c r="U24" s="3"/>
      <c r="V24" s="3"/>
      <c r="W24" s="3"/>
      <c r="X24" s="3"/>
      <c r="Y24" s="3"/>
      <c r="Z24" s="3"/>
      <c r="AA24" s="3"/>
      <c r="AB24" s="19"/>
    </row>
    <row r="25" spans="1:28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  <c r="O25" s="20"/>
      <c r="P25" s="20"/>
      <c r="Q25" s="20"/>
      <c r="R25" s="20"/>
      <c r="S25" s="20"/>
      <c r="T25" s="20"/>
      <c r="U25" s="3"/>
      <c r="V25" s="3"/>
      <c r="W25" s="3"/>
      <c r="X25" s="3"/>
      <c r="Y25" s="3"/>
      <c r="Z25" s="3"/>
      <c r="AA25" s="3"/>
      <c r="AB25" s="19"/>
    </row>
    <row r="26" spans="1:28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  <c r="O26" s="20"/>
      <c r="P26" s="20"/>
      <c r="Q26" s="20"/>
      <c r="R26" s="20"/>
      <c r="S26" s="20"/>
      <c r="T26" s="20"/>
      <c r="U26" s="3"/>
      <c r="V26" s="3"/>
      <c r="W26" s="3"/>
      <c r="X26" s="3"/>
      <c r="Y26" s="3"/>
      <c r="Z26" s="3"/>
      <c r="AA26" s="3"/>
      <c r="AB26" s="19"/>
    </row>
    <row r="27" spans="1:28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  <c r="O27" s="20"/>
      <c r="P27" s="20"/>
      <c r="Q27" s="20"/>
      <c r="R27" s="20"/>
      <c r="S27" s="20"/>
      <c r="T27" s="20"/>
      <c r="U27" s="3"/>
      <c r="V27" s="3"/>
      <c r="W27" s="3"/>
      <c r="X27" s="3"/>
      <c r="Y27" s="3"/>
      <c r="Z27" s="3"/>
      <c r="AA27" s="3"/>
      <c r="AB27" s="36"/>
    </row>
    <row r="28" spans="1:28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  <c r="O28" s="20"/>
      <c r="P28" s="20"/>
      <c r="Q28" s="20"/>
      <c r="R28" s="20"/>
      <c r="S28" s="20"/>
      <c r="T28" s="20"/>
      <c r="U28" s="3"/>
      <c r="V28" s="3"/>
      <c r="W28" s="3"/>
      <c r="X28" s="3"/>
      <c r="Y28" s="3"/>
      <c r="Z28" s="3"/>
      <c r="AA28" s="3"/>
      <c r="AB28" s="36"/>
    </row>
    <row r="29" spans="1:28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  <c r="O29" s="20"/>
      <c r="P29" s="20"/>
      <c r="Q29" s="20"/>
      <c r="R29" s="20"/>
      <c r="S29" s="20"/>
      <c r="T29" s="20"/>
      <c r="U29" s="3"/>
      <c r="V29" s="3"/>
      <c r="W29" s="3"/>
      <c r="X29" s="3"/>
      <c r="Y29" s="3"/>
      <c r="Z29" s="3"/>
      <c r="AA29" s="3"/>
      <c r="AB29" s="19"/>
    </row>
    <row r="30" spans="1:28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  <c r="O30" s="20"/>
      <c r="P30" s="20"/>
      <c r="Q30" s="20"/>
      <c r="R30" s="20"/>
      <c r="S30" s="20"/>
      <c r="T30" s="20"/>
      <c r="U30" s="3"/>
      <c r="V30" s="3"/>
      <c r="W30" s="3"/>
      <c r="X30" s="3"/>
      <c r="Y30" s="3"/>
      <c r="Z30" s="3"/>
      <c r="AA30" s="3"/>
      <c r="AB30" s="19"/>
    </row>
    <row r="31" spans="1:28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  <c r="O31" s="20"/>
      <c r="P31" s="20"/>
      <c r="Q31" s="20"/>
      <c r="R31" s="20"/>
      <c r="S31" s="20"/>
      <c r="T31" s="20"/>
      <c r="U31" s="3"/>
      <c r="V31" s="3"/>
      <c r="W31" s="3"/>
      <c r="X31" s="3"/>
      <c r="Y31" s="3"/>
      <c r="Z31" s="3"/>
      <c r="AA31" s="3"/>
      <c r="AB31" s="19"/>
    </row>
    <row r="32" spans="1:28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  <c r="O32" s="20"/>
      <c r="P32" s="20"/>
      <c r="Q32" s="20"/>
      <c r="R32" s="20"/>
      <c r="S32" s="20"/>
      <c r="T32" s="20"/>
      <c r="U32" s="3"/>
      <c r="V32" s="3"/>
      <c r="W32" s="3"/>
      <c r="X32" s="3"/>
      <c r="Y32" s="3"/>
      <c r="Z32" s="3"/>
      <c r="AA32" s="3"/>
      <c r="AB32" s="19"/>
    </row>
    <row r="33" spans="1:28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  <c r="O33" s="20"/>
      <c r="P33" s="20"/>
      <c r="Q33" s="20"/>
      <c r="R33" s="20"/>
      <c r="S33" s="20"/>
      <c r="T33" s="20"/>
      <c r="U33" s="3"/>
      <c r="V33" s="3"/>
      <c r="W33" s="3"/>
      <c r="X33" s="3"/>
      <c r="Y33" s="3"/>
      <c r="Z33" s="3"/>
      <c r="AA33" s="3"/>
      <c r="AB33" s="19"/>
    </row>
    <row r="34" spans="1:28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  <c r="O34" s="20"/>
      <c r="P34" s="20"/>
      <c r="Q34" s="20"/>
      <c r="R34" s="20"/>
      <c r="S34" s="20"/>
      <c r="T34" s="20"/>
      <c r="U34" s="3"/>
      <c r="V34" s="3"/>
      <c r="W34" s="3"/>
      <c r="X34" s="3"/>
      <c r="Y34" s="3"/>
      <c r="Z34" s="3"/>
      <c r="AA34" s="3"/>
      <c r="AB34" s="36"/>
    </row>
    <row r="35" spans="1:28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  <c r="O35" s="20"/>
      <c r="P35" s="20"/>
      <c r="Q35" s="20"/>
      <c r="R35" s="20"/>
      <c r="S35" s="20"/>
      <c r="T35" s="20"/>
      <c r="U35" s="3"/>
      <c r="V35" s="3"/>
      <c r="W35" s="3"/>
      <c r="X35" s="3"/>
      <c r="Y35" s="3"/>
      <c r="Z35" s="3"/>
      <c r="AA35" s="3"/>
      <c r="AB35" s="36"/>
    </row>
    <row r="36" spans="1:28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  <c r="O36" s="20"/>
      <c r="P36" s="20"/>
      <c r="Q36" s="20"/>
      <c r="R36" s="20"/>
      <c r="S36" s="20"/>
      <c r="T36" s="20"/>
      <c r="U36" s="3"/>
      <c r="V36" s="3"/>
      <c r="W36" s="3"/>
      <c r="X36" s="3"/>
      <c r="Y36" s="3"/>
      <c r="Z36" s="3"/>
      <c r="AA36" s="3"/>
      <c r="AB36" s="36"/>
    </row>
    <row r="37" spans="1:28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  <c r="O37" s="22"/>
      <c r="P37" s="22"/>
      <c r="Q37" s="22"/>
      <c r="R37" s="22"/>
      <c r="S37" s="22"/>
      <c r="T37" s="22"/>
      <c r="U37" s="38"/>
      <c r="V37" s="38"/>
      <c r="W37" s="38"/>
      <c r="X37" s="38"/>
      <c r="Y37" s="38"/>
      <c r="Z37" s="38"/>
      <c r="AA37" s="38"/>
      <c r="AB37" s="39"/>
    </row>
    <row r="38" spans="1:28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  <c r="U38" s="2"/>
      <c r="V38" s="2"/>
      <c r="W38" s="2"/>
      <c r="X38" s="2"/>
      <c r="Y38" s="2"/>
      <c r="Z38" s="2"/>
      <c r="AA38" s="2"/>
      <c r="AB38" s="40"/>
    </row>
    <row r="39" spans="1:28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  <c r="U39" s="2"/>
      <c r="V39" s="2"/>
      <c r="W39" s="2"/>
      <c r="X39" s="2"/>
      <c r="Y39" s="2"/>
      <c r="Z39" s="2"/>
      <c r="AA39" s="2"/>
      <c r="AB39" s="41"/>
    </row>
    <row r="40" spans="1:28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  <c r="U40" s="2"/>
      <c r="V40" s="2"/>
      <c r="W40" s="2"/>
      <c r="X40" s="2"/>
      <c r="Y40" s="2"/>
      <c r="Z40" s="2"/>
      <c r="AA40" s="2"/>
      <c r="AB40" s="40"/>
    </row>
    <row r="41" spans="1:28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  <c r="U41" s="2"/>
      <c r="V41" s="2"/>
      <c r="W41" s="2"/>
      <c r="X41" s="2"/>
      <c r="Y41" s="2"/>
      <c r="Z41" s="2"/>
      <c r="AA41" s="2"/>
      <c r="AB41" s="41"/>
    </row>
    <row r="42" spans="1:28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  <c r="U42" s="2"/>
      <c r="V42" s="2"/>
      <c r="W42" s="2"/>
      <c r="X42" s="2"/>
      <c r="Y42" s="2"/>
      <c r="Z42" s="2"/>
      <c r="AA42" s="2"/>
      <c r="AB42" s="40"/>
    </row>
    <row r="43" spans="1:28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  <c r="U43" s="2"/>
      <c r="V43" s="2"/>
      <c r="W43" s="2"/>
      <c r="X43" s="2"/>
      <c r="Y43" s="2"/>
      <c r="Z43" s="2"/>
      <c r="AA43" s="2"/>
      <c r="AB43" s="41"/>
    </row>
    <row r="44" spans="1:28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  <c r="U44" s="2"/>
      <c r="V44" s="2"/>
      <c r="W44" s="2"/>
      <c r="X44" s="2"/>
      <c r="Y44" s="2"/>
      <c r="Z44" s="2"/>
      <c r="AA44" s="2"/>
      <c r="AB44" s="40"/>
    </row>
    <row r="45" spans="1:28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  <c r="U45" s="2"/>
      <c r="V45" s="2"/>
      <c r="W45" s="2"/>
      <c r="X45" s="2"/>
      <c r="Y45" s="2"/>
      <c r="Z45" s="2"/>
      <c r="AA45" s="2"/>
      <c r="AB45" s="40"/>
    </row>
    <row r="46" spans="1:28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  <c r="U46" s="2"/>
      <c r="V46" s="2"/>
      <c r="W46" s="2"/>
      <c r="X46" s="2"/>
      <c r="Y46" s="2"/>
      <c r="Z46" s="2"/>
      <c r="AA46" s="2"/>
      <c r="AB46" s="40"/>
    </row>
    <row r="47" spans="1:28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  <c r="U47" s="2"/>
      <c r="V47" s="2"/>
      <c r="W47" s="2"/>
      <c r="X47" s="2"/>
      <c r="Y47" s="2"/>
      <c r="Z47" s="2"/>
      <c r="AA47" s="2"/>
      <c r="AB47" s="41"/>
    </row>
    <row r="48" spans="1:28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  <c r="U48" s="2"/>
      <c r="V48" s="2"/>
      <c r="W48" s="2"/>
      <c r="X48" s="2"/>
      <c r="Y48" s="2"/>
      <c r="Z48" s="2"/>
      <c r="AA48" s="2"/>
      <c r="AB48" s="40"/>
    </row>
    <row r="49" spans="2:28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  <c r="U49" s="2"/>
      <c r="V49" s="2"/>
      <c r="W49" s="2"/>
      <c r="X49" s="2"/>
      <c r="Y49" s="2"/>
      <c r="Z49" s="2"/>
      <c r="AA49" s="2"/>
      <c r="AB49" s="40"/>
    </row>
    <row r="50" spans="2:28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  <c r="U50" s="2"/>
      <c r="V50" s="2"/>
      <c r="W50" s="2"/>
      <c r="X50" s="2"/>
      <c r="Y50" s="2"/>
      <c r="Z50" s="2"/>
      <c r="AA50" s="2"/>
      <c r="AB50" s="41"/>
    </row>
    <row r="51" spans="2:28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  <c r="U51" s="2"/>
      <c r="V51" s="2"/>
      <c r="W51" s="2"/>
      <c r="X51" s="2"/>
      <c r="Y51" s="2"/>
      <c r="Z51" s="2"/>
      <c r="AA51" s="2"/>
      <c r="AB51" s="40"/>
    </row>
    <row r="52" spans="2:28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  <c r="U52" s="2"/>
      <c r="V52" s="2"/>
      <c r="W52" s="2"/>
      <c r="X52" s="2"/>
      <c r="Y52" s="2"/>
      <c r="Z52" s="2"/>
      <c r="AA52" s="2"/>
      <c r="AB52" s="40"/>
    </row>
    <row r="53" spans="2:28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  <c r="U53" s="2"/>
      <c r="V53" s="2"/>
      <c r="W53" s="2"/>
      <c r="X53" s="2"/>
      <c r="Y53" s="2"/>
      <c r="Z53" s="2"/>
      <c r="AA53" s="2"/>
      <c r="AB53" s="41"/>
    </row>
    <row r="54" spans="2:28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  <c r="U54" s="2"/>
      <c r="V54" s="2"/>
      <c r="W54" s="2"/>
      <c r="X54" s="2"/>
      <c r="Y54" s="2"/>
      <c r="Z54" s="2"/>
      <c r="AA54" s="2"/>
      <c r="AB54" s="41"/>
    </row>
    <row r="55" spans="2:28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  <c r="U55" s="2"/>
      <c r="V55" s="2"/>
      <c r="W55" s="2"/>
      <c r="X55" s="2"/>
      <c r="Y55" s="2"/>
      <c r="Z55" s="2"/>
      <c r="AA55" s="2"/>
      <c r="AB55" s="40"/>
    </row>
    <row r="56" spans="2:28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  <c r="U56" s="2"/>
      <c r="V56" s="2"/>
      <c r="W56" s="2"/>
      <c r="X56" s="2"/>
      <c r="Y56" s="2"/>
      <c r="Z56" s="2"/>
      <c r="AA56" s="2"/>
      <c r="AB56" s="41"/>
    </row>
    <row r="57" spans="2:28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  <c r="U57" s="2"/>
      <c r="V57" s="2"/>
      <c r="W57" s="2"/>
      <c r="X57" s="2"/>
      <c r="Y57" s="2"/>
      <c r="Z57" s="2"/>
      <c r="AA57" s="2"/>
      <c r="AB57" s="40"/>
    </row>
    <row r="58" spans="2:28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  <c r="U58" s="2"/>
      <c r="V58" s="2"/>
      <c r="W58" s="2"/>
      <c r="X58" s="2"/>
      <c r="Y58" s="2"/>
      <c r="Z58" s="2"/>
      <c r="AA58" s="2"/>
      <c r="AB58" s="41"/>
    </row>
    <row r="59" spans="2:28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  <c r="U59" s="2"/>
      <c r="V59" s="2"/>
      <c r="W59" s="2"/>
      <c r="X59" s="2"/>
      <c r="Y59" s="2"/>
      <c r="Z59" s="2"/>
      <c r="AA59" s="2"/>
      <c r="AB59" s="40"/>
    </row>
    <row r="60" spans="2:28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  <c r="U60" s="2"/>
      <c r="V60" s="2"/>
      <c r="W60" s="2"/>
      <c r="X60" s="2"/>
      <c r="Y60" s="2"/>
      <c r="Z60" s="2"/>
      <c r="AA60" s="2"/>
      <c r="AB60" s="40"/>
    </row>
    <row r="61" spans="2:28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  <c r="U61" s="2"/>
      <c r="V61" s="2"/>
      <c r="W61" s="2"/>
      <c r="X61" s="2"/>
      <c r="Y61" s="2"/>
      <c r="Z61" s="2"/>
      <c r="AA61" s="2"/>
      <c r="AB61" s="40"/>
    </row>
    <row r="62" spans="2:28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  <c r="U62" s="2"/>
      <c r="V62" s="2"/>
      <c r="W62" s="2"/>
      <c r="X62" s="2"/>
      <c r="Y62" s="2"/>
      <c r="Z62" s="2"/>
      <c r="AA62" s="2"/>
      <c r="AB62" s="41"/>
    </row>
    <row r="63" spans="2:28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  <c r="U63" s="2"/>
      <c r="V63" s="2"/>
      <c r="W63" s="2"/>
      <c r="X63" s="2"/>
      <c r="Y63" s="2"/>
      <c r="Z63" s="2"/>
      <c r="AA63" s="2"/>
      <c r="AB63" s="40"/>
    </row>
    <row r="64" spans="2:28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  <c r="U64" s="2"/>
      <c r="V64" s="2"/>
      <c r="W64" s="2"/>
      <c r="X64" s="2"/>
      <c r="Y64" s="2"/>
      <c r="Z64" s="2"/>
      <c r="AA64" s="2"/>
      <c r="AB64" s="40"/>
    </row>
    <row r="65" spans="2:28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  <c r="U65" s="2"/>
      <c r="V65" s="2"/>
      <c r="W65" s="2"/>
      <c r="X65" s="2"/>
      <c r="Y65" s="2"/>
      <c r="Z65" s="2"/>
      <c r="AA65" s="2"/>
      <c r="AB65" s="41"/>
    </row>
    <row r="66" spans="2:28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  <c r="U66" s="2"/>
      <c r="V66" s="2"/>
      <c r="W66" s="2"/>
      <c r="X66" s="2"/>
      <c r="Y66" s="2"/>
      <c r="Z66" s="2"/>
      <c r="AA66" s="2"/>
      <c r="AB66" s="40"/>
    </row>
    <row r="67" spans="2:28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  <c r="U67" s="2"/>
      <c r="V67" s="2"/>
      <c r="W67" s="2"/>
      <c r="X67" s="2"/>
      <c r="Y67" s="2"/>
      <c r="Z67" s="2"/>
      <c r="AA67" s="2"/>
      <c r="AB67" s="40"/>
    </row>
    <row r="68" spans="2:28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  <c r="U68" s="2"/>
      <c r="V68" s="2"/>
      <c r="W68" s="2"/>
      <c r="X68" s="2"/>
      <c r="Y68" s="2"/>
      <c r="Z68" s="2"/>
      <c r="AA68" s="2"/>
      <c r="AB68" s="40"/>
    </row>
    <row r="69" spans="2:28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  <c r="U69" s="2"/>
      <c r="V69" s="2"/>
      <c r="W69" s="2"/>
      <c r="X69" s="2"/>
      <c r="Y69" s="2"/>
      <c r="Z69" s="2"/>
      <c r="AA69" s="2"/>
      <c r="AB69" s="40"/>
    </row>
    <row r="70" spans="2:28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  <c r="U70" s="2"/>
      <c r="V70" s="2"/>
      <c r="W70" s="2"/>
      <c r="X70" s="2"/>
      <c r="Y70" s="2"/>
      <c r="Z70" s="2"/>
      <c r="AA70" s="2"/>
      <c r="AB70" s="41"/>
    </row>
    <row r="71" spans="2:28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  <c r="U71" s="2"/>
      <c r="V71" s="2"/>
      <c r="W71" s="2"/>
      <c r="X71" s="2"/>
      <c r="Y71" s="2"/>
      <c r="Z71" s="2"/>
      <c r="AA71" s="2"/>
      <c r="AB71" s="41"/>
    </row>
    <row r="72" spans="2:28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  <c r="U72" s="2"/>
      <c r="V72" s="2"/>
      <c r="W72" s="2"/>
      <c r="X72" s="2"/>
      <c r="Y72" s="2"/>
      <c r="Z72" s="2"/>
      <c r="AA72" s="2"/>
      <c r="AB72" s="40"/>
    </row>
    <row r="73" spans="2:28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  <c r="U73" s="2"/>
      <c r="V73" s="2"/>
      <c r="W73" s="2"/>
      <c r="X73" s="2"/>
      <c r="Y73" s="2"/>
      <c r="Z73" s="2"/>
      <c r="AA73" s="2"/>
      <c r="AB73" s="40"/>
    </row>
    <row r="74" spans="2:28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  <c r="U74" s="2"/>
      <c r="V74" s="2"/>
      <c r="W74" s="2"/>
      <c r="X74" s="2"/>
      <c r="Y74" s="2"/>
      <c r="Z74" s="2"/>
      <c r="AA74" s="2"/>
      <c r="AB74" s="41"/>
    </row>
    <row r="75" spans="2:28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  <c r="U75" s="2"/>
      <c r="V75" s="2"/>
      <c r="W75" s="2"/>
      <c r="X75" s="2"/>
      <c r="Y75" s="2"/>
      <c r="Z75" s="2"/>
      <c r="AA75" s="2"/>
      <c r="AB75" s="41"/>
    </row>
    <row r="76" spans="2:28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  <c r="U76" s="2"/>
      <c r="V76" s="2"/>
      <c r="W76" s="2"/>
      <c r="X76" s="2"/>
      <c r="Y76" s="2"/>
      <c r="Z76" s="2"/>
      <c r="AA76" s="2"/>
      <c r="AB76" s="40"/>
    </row>
    <row r="77" spans="2:28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  <c r="U77" s="2"/>
      <c r="V77" s="2"/>
      <c r="W77" s="2"/>
      <c r="X77" s="2"/>
      <c r="Y77" s="2"/>
      <c r="Z77" s="2"/>
      <c r="AA77" s="2"/>
      <c r="AB77" s="41"/>
    </row>
    <row r="78" spans="2:28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  <c r="U78" s="2"/>
      <c r="V78" s="2"/>
      <c r="W78" s="2"/>
      <c r="X78" s="2"/>
      <c r="Y78" s="2"/>
      <c r="Z78" s="2"/>
      <c r="AA78" s="2"/>
      <c r="AB78" s="40"/>
    </row>
    <row r="79" spans="2:28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  <c r="U79" s="2"/>
      <c r="V79" s="2"/>
      <c r="W79" s="2"/>
      <c r="X79" s="2"/>
      <c r="Y79" s="2"/>
      <c r="Z79" s="2"/>
      <c r="AA79" s="2"/>
      <c r="AB79" s="41"/>
    </row>
    <row r="80" spans="2:28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  <c r="U80" s="2"/>
      <c r="V80" s="2"/>
      <c r="W80" s="2"/>
      <c r="X80" s="2"/>
      <c r="Y80" s="2"/>
      <c r="Z80" s="2"/>
      <c r="AA80" s="2"/>
      <c r="AB80" s="40"/>
    </row>
    <row r="81" spans="2:28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  <c r="U81" s="2"/>
      <c r="V81" s="2"/>
      <c r="W81" s="2"/>
      <c r="X81" s="2"/>
      <c r="Y81" s="2"/>
      <c r="Z81" s="2"/>
      <c r="AA81" s="2"/>
      <c r="AB81" s="40"/>
    </row>
    <row r="82" spans="2:28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  <c r="U82" s="2"/>
      <c r="V82" s="2"/>
      <c r="W82" s="2"/>
      <c r="X82" s="2"/>
      <c r="Y82" s="2"/>
      <c r="Z82" s="2"/>
      <c r="AA82" s="2"/>
      <c r="AB82" s="41"/>
    </row>
    <row r="83" spans="2:28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  <c r="U83" s="2"/>
      <c r="V83" s="2"/>
      <c r="W83" s="2"/>
      <c r="X83" s="2"/>
      <c r="Y83" s="2"/>
      <c r="Z83" s="2"/>
      <c r="AA83" s="2"/>
      <c r="AB83" s="41"/>
    </row>
    <row r="84" spans="2:28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  <c r="U84" s="2"/>
      <c r="V84" s="2"/>
      <c r="W84" s="2"/>
      <c r="X84" s="2"/>
      <c r="Y84" s="2"/>
      <c r="Z84" s="2"/>
      <c r="AA84" s="2"/>
      <c r="AB84" s="40"/>
    </row>
    <row r="85" spans="2:28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  <c r="U85" s="2"/>
      <c r="V85" s="2"/>
      <c r="W85" s="2"/>
      <c r="X85" s="2"/>
      <c r="Y85" s="2"/>
      <c r="Z85" s="2"/>
      <c r="AA85" s="2"/>
      <c r="AB85" s="40"/>
    </row>
    <row r="86" spans="2:28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  <c r="U86" s="2"/>
      <c r="V86" s="2"/>
      <c r="W86" s="2"/>
      <c r="X86" s="2"/>
      <c r="Y86" s="2"/>
      <c r="Z86" s="2"/>
      <c r="AA86" s="2"/>
      <c r="AB86" s="41"/>
    </row>
    <row r="87" spans="2:28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  <c r="U87" s="2"/>
      <c r="V87" s="2"/>
      <c r="W87" s="2"/>
      <c r="X87" s="2"/>
      <c r="Y87" s="2"/>
      <c r="Z87" s="2"/>
      <c r="AA87" s="2"/>
      <c r="AB87" s="41"/>
    </row>
    <row r="88" spans="2:28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  <c r="U88" s="2"/>
      <c r="V88" s="2"/>
      <c r="W88" s="2"/>
      <c r="X88" s="2"/>
      <c r="Y88" s="2"/>
      <c r="Z88" s="2"/>
      <c r="AA88" s="2"/>
      <c r="AB88" s="40"/>
    </row>
    <row r="89" spans="2:28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  <c r="U89" s="2"/>
      <c r="V89" s="2"/>
      <c r="W89" s="2"/>
      <c r="X89" s="2"/>
      <c r="Y89" s="2"/>
      <c r="Z89" s="2"/>
      <c r="AA89" s="2"/>
      <c r="AB89" s="41"/>
    </row>
    <row r="90" spans="2:28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  <c r="U90" s="2"/>
      <c r="V90" s="2"/>
      <c r="W90" s="2"/>
      <c r="X90" s="2"/>
      <c r="Y90" s="2"/>
      <c r="Z90" s="2"/>
      <c r="AA90" s="2"/>
      <c r="AB90" s="41"/>
    </row>
    <row r="91" spans="2:28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  <c r="U91" s="2"/>
      <c r="V91" s="2"/>
      <c r="W91" s="2"/>
      <c r="X91" s="2"/>
      <c r="Y91" s="2"/>
      <c r="Z91" s="2"/>
      <c r="AA91" s="2"/>
      <c r="AB91" s="41"/>
    </row>
    <row r="92" spans="2:28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  <c r="U92" s="2"/>
      <c r="V92" s="2"/>
      <c r="W92" s="2"/>
      <c r="X92" s="2"/>
      <c r="Y92" s="2"/>
      <c r="Z92" s="2"/>
      <c r="AA92" s="2"/>
      <c r="AB92" s="41"/>
    </row>
    <row r="93" spans="2:28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  <c r="U93" s="2"/>
      <c r="V93" s="2"/>
      <c r="W93" s="2"/>
      <c r="X93" s="2"/>
      <c r="Y93" s="2"/>
      <c r="Z93" s="2"/>
      <c r="AA93" s="2"/>
      <c r="AB93" s="40"/>
    </row>
    <row r="94" spans="2:28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  <c r="U94" s="2"/>
      <c r="V94" s="2"/>
      <c r="W94" s="2"/>
      <c r="X94" s="2"/>
      <c r="Y94" s="2"/>
      <c r="Z94" s="2"/>
      <c r="AA94" s="2"/>
      <c r="AB94" s="40"/>
    </row>
    <row r="95" spans="2:28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  <c r="U95" s="2"/>
      <c r="V95" s="2"/>
      <c r="W95" s="2"/>
      <c r="X95" s="2"/>
      <c r="Y95" s="2"/>
      <c r="Z95" s="2"/>
      <c r="AA95" s="2"/>
      <c r="AB95" s="40"/>
    </row>
    <row r="96" spans="2:28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  <c r="U96" s="2"/>
      <c r="V96" s="2"/>
      <c r="W96" s="2"/>
      <c r="X96" s="2"/>
      <c r="Y96" s="2"/>
      <c r="Z96" s="2"/>
      <c r="AA96" s="2"/>
      <c r="AB96" s="41"/>
    </row>
    <row r="97" spans="2:28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  <c r="U97" s="2"/>
      <c r="V97" s="2"/>
      <c r="W97" s="2"/>
      <c r="X97" s="2"/>
      <c r="Y97" s="2"/>
      <c r="Z97" s="2"/>
      <c r="AA97" s="2"/>
      <c r="AB97" s="40"/>
    </row>
    <row r="98" spans="2:28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  <c r="U98" s="2"/>
      <c r="V98" s="2"/>
      <c r="W98" s="2"/>
      <c r="X98" s="2"/>
      <c r="Y98" s="2"/>
      <c r="Z98" s="2"/>
      <c r="AA98" s="2"/>
      <c r="AB98" s="41"/>
    </row>
    <row r="99" spans="2:28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  <c r="U99" s="2"/>
      <c r="V99" s="2"/>
      <c r="W99" s="2"/>
      <c r="X99" s="2"/>
      <c r="Y99" s="2"/>
      <c r="Z99" s="2"/>
      <c r="AA99" s="2"/>
      <c r="AB99" s="41"/>
    </row>
    <row r="100" spans="2:28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  <c r="U100" s="2"/>
      <c r="V100" s="2"/>
      <c r="W100" s="2"/>
      <c r="X100" s="2"/>
      <c r="Y100" s="2"/>
      <c r="Z100" s="2"/>
      <c r="AA100" s="2"/>
      <c r="AB100" s="41"/>
    </row>
    <row r="101" spans="2:28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  <c r="U101" s="2"/>
      <c r="V101" s="2"/>
      <c r="W101" s="2"/>
      <c r="X101" s="2"/>
      <c r="Y101" s="2"/>
      <c r="Z101" s="2"/>
      <c r="AA101" s="2"/>
      <c r="AB101" s="41"/>
    </row>
    <row r="102" spans="2:28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  <c r="U102" s="2"/>
      <c r="V102" s="2"/>
      <c r="W102" s="2"/>
      <c r="X102" s="2"/>
      <c r="Y102" s="2"/>
      <c r="Z102" s="2"/>
      <c r="AA102" s="2"/>
      <c r="AB102" s="41"/>
    </row>
    <row r="103" spans="2:28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  <c r="U103" s="2"/>
      <c r="V103" s="2"/>
      <c r="W103" s="2"/>
      <c r="X103" s="2"/>
      <c r="Y103" s="2"/>
      <c r="Z103" s="2"/>
      <c r="AA103" s="2"/>
      <c r="AB103" s="41"/>
    </row>
    <row r="104" spans="2:28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  <c r="U104" s="2"/>
      <c r="V104" s="2"/>
      <c r="W104" s="2"/>
      <c r="X104" s="2"/>
      <c r="Y104" s="2"/>
      <c r="Z104" s="2"/>
      <c r="AA104" s="2"/>
      <c r="AB104" s="40"/>
    </row>
    <row r="105" spans="2:28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  <c r="U105" s="2"/>
      <c r="V105" s="2"/>
      <c r="W105" s="2"/>
      <c r="X105" s="2"/>
      <c r="Y105" s="2"/>
      <c r="Z105" s="2"/>
      <c r="AA105" s="2"/>
      <c r="AB105" s="41"/>
    </row>
    <row r="106" spans="2:28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  <c r="U106" s="2"/>
      <c r="V106" s="2"/>
      <c r="W106" s="2"/>
      <c r="X106" s="2"/>
      <c r="Y106" s="2"/>
      <c r="Z106" s="2"/>
      <c r="AA106" s="2"/>
      <c r="AB106" s="40"/>
    </row>
    <row r="107" spans="2:28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  <c r="U107" s="2"/>
      <c r="V107" s="2"/>
      <c r="W107" s="2"/>
      <c r="X107" s="2"/>
      <c r="Y107" s="2"/>
      <c r="Z107" s="2"/>
      <c r="AA107" s="2"/>
      <c r="AB107" s="40"/>
    </row>
    <row r="108" spans="2:28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  <c r="U108" s="2"/>
      <c r="V108" s="2"/>
      <c r="W108" s="2"/>
      <c r="X108" s="2"/>
      <c r="Y108" s="2"/>
      <c r="Z108" s="2"/>
      <c r="AA108" s="2"/>
      <c r="AB108" s="41"/>
    </row>
    <row r="109" spans="2:28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  <c r="U109" s="2"/>
      <c r="V109" s="2"/>
      <c r="W109" s="2"/>
      <c r="X109" s="2"/>
      <c r="Y109" s="2"/>
      <c r="Z109" s="2"/>
      <c r="AA109" s="2"/>
      <c r="AB109" s="40"/>
    </row>
    <row r="110" spans="2:28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  <c r="U110" s="2"/>
      <c r="V110" s="2"/>
      <c r="W110" s="2"/>
      <c r="X110" s="2"/>
      <c r="Y110" s="2"/>
      <c r="Z110" s="2"/>
      <c r="AA110" s="2"/>
      <c r="AB110" s="41"/>
    </row>
    <row r="111" spans="2:28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  <c r="U111" s="2"/>
      <c r="V111" s="2"/>
      <c r="W111" s="2"/>
      <c r="X111" s="2"/>
      <c r="Y111" s="2"/>
      <c r="Z111" s="2"/>
      <c r="AA111" s="2"/>
      <c r="AB111" s="40"/>
    </row>
    <row r="112" spans="2:28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  <c r="U112" s="2"/>
      <c r="V112" s="2"/>
      <c r="W112" s="2"/>
      <c r="X112" s="2"/>
      <c r="Y112" s="2"/>
      <c r="Z112" s="2"/>
      <c r="AA112" s="2"/>
      <c r="AB112" s="40"/>
    </row>
    <row r="113" spans="2:28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  <c r="U113" s="2"/>
      <c r="V113" s="2"/>
      <c r="W113" s="2"/>
      <c r="X113" s="2"/>
      <c r="Y113" s="2"/>
      <c r="Z113" s="2"/>
      <c r="AA113" s="2"/>
      <c r="AB113" s="40"/>
    </row>
    <row r="114" spans="2:28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  <c r="U114" s="2"/>
      <c r="V114" s="2"/>
      <c r="W114" s="2"/>
      <c r="X114" s="2"/>
      <c r="Y114" s="2"/>
      <c r="Z114" s="2"/>
      <c r="AA114" s="2"/>
      <c r="AB114" s="40"/>
    </row>
    <row r="115" spans="2:28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  <c r="U115" s="2"/>
      <c r="V115" s="2"/>
      <c r="W115" s="2"/>
      <c r="X115" s="2"/>
      <c r="Y115" s="2"/>
      <c r="Z115" s="2"/>
      <c r="AA115" s="2"/>
      <c r="AB115" s="40"/>
    </row>
    <row r="116" spans="2:28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  <c r="U116" s="2"/>
      <c r="V116" s="2"/>
      <c r="W116" s="2"/>
      <c r="X116" s="2"/>
      <c r="Y116" s="2"/>
      <c r="Z116" s="2"/>
      <c r="AA116" s="2"/>
      <c r="AB116" s="41"/>
    </row>
    <row r="117" spans="2:28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  <c r="U117" s="2"/>
      <c r="V117" s="2"/>
      <c r="W117" s="2"/>
      <c r="X117" s="2"/>
      <c r="Y117" s="2"/>
      <c r="Z117" s="2"/>
      <c r="AA117" s="2"/>
      <c r="AB117" s="41"/>
    </row>
    <row r="118" spans="2:28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  <c r="U118" s="2"/>
      <c r="V118" s="2"/>
      <c r="W118" s="2"/>
      <c r="X118" s="2"/>
      <c r="Y118" s="2"/>
      <c r="Z118" s="2"/>
      <c r="AA118" s="2"/>
      <c r="AB118" s="41"/>
    </row>
    <row r="119" spans="2:28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  <c r="U119" s="2"/>
      <c r="V119" s="2"/>
      <c r="W119" s="2"/>
      <c r="X119" s="2"/>
      <c r="Y119" s="2"/>
      <c r="Z119" s="2"/>
      <c r="AA119" s="2"/>
      <c r="AB119" s="41"/>
    </row>
    <row r="120" spans="2:28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  <c r="U120" s="2"/>
      <c r="V120" s="2"/>
      <c r="W120" s="2"/>
      <c r="X120" s="2"/>
      <c r="Y120" s="2"/>
      <c r="Z120" s="2"/>
      <c r="AA120" s="2"/>
      <c r="AB120" s="41"/>
    </row>
    <row r="121" spans="2:28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  <c r="U121" s="2"/>
      <c r="V121" s="2"/>
      <c r="W121" s="2"/>
      <c r="X121" s="2"/>
      <c r="Y121" s="2"/>
      <c r="Z121" s="2"/>
      <c r="AA121" s="2"/>
      <c r="AB121" s="41"/>
    </row>
    <row r="122" spans="2:28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  <c r="U122" s="2"/>
      <c r="V122" s="2"/>
      <c r="W122" s="2"/>
      <c r="X122" s="2"/>
      <c r="Y122" s="2"/>
      <c r="Z122" s="2"/>
      <c r="AA122" s="2"/>
      <c r="AB122" s="41"/>
    </row>
    <row r="123" spans="2:28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  <c r="U123" s="2"/>
      <c r="V123" s="2"/>
      <c r="W123" s="2"/>
      <c r="X123" s="2"/>
      <c r="Y123" s="2"/>
      <c r="Z123" s="2"/>
      <c r="AA123" s="2"/>
      <c r="AB123" s="41"/>
    </row>
    <row r="124" spans="2:28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  <c r="U124" s="2"/>
      <c r="V124" s="2"/>
      <c r="W124" s="2"/>
      <c r="X124" s="2"/>
      <c r="Y124" s="2"/>
      <c r="Z124" s="2"/>
      <c r="AA124" s="2"/>
      <c r="AB124" s="41"/>
    </row>
    <row r="125" spans="2:28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  <c r="U125" s="2"/>
      <c r="V125" s="2"/>
      <c r="W125" s="2"/>
      <c r="X125" s="2"/>
      <c r="Y125" s="2"/>
      <c r="Z125" s="2"/>
      <c r="AA125" s="2"/>
      <c r="AB125" s="40"/>
    </row>
    <row r="126" spans="2:28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  <c r="U126" s="2"/>
      <c r="V126" s="2"/>
      <c r="W126" s="2"/>
      <c r="X126" s="2"/>
      <c r="Y126" s="2"/>
      <c r="Z126" s="2"/>
      <c r="AA126" s="2"/>
      <c r="AB126" s="41"/>
    </row>
    <row r="127" spans="2:28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  <c r="U127" s="2"/>
      <c r="V127" s="2"/>
      <c r="W127" s="2"/>
      <c r="X127" s="2"/>
      <c r="Y127" s="2"/>
      <c r="Z127" s="2"/>
      <c r="AA127" s="2"/>
      <c r="AB127" s="40"/>
    </row>
    <row r="128" spans="2:28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  <c r="U128" s="2"/>
      <c r="V128" s="2"/>
      <c r="W128" s="2"/>
      <c r="X128" s="2"/>
      <c r="Y128" s="2"/>
      <c r="Z128" s="2"/>
      <c r="AA128" s="2"/>
      <c r="AB128" s="41"/>
    </row>
    <row r="129" spans="2:28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  <c r="U129" s="2"/>
      <c r="V129" s="2"/>
      <c r="W129" s="2"/>
      <c r="X129" s="2"/>
      <c r="Y129" s="2"/>
      <c r="Z129" s="2"/>
      <c r="AA129" s="2"/>
      <c r="AB129" s="41"/>
    </row>
    <row r="130" spans="2:28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  <c r="U130" s="2"/>
      <c r="V130" s="2"/>
      <c r="W130" s="2"/>
      <c r="X130" s="2"/>
      <c r="Y130" s="2"/>
      <c r="Z130" s="2"/>
      <c r="AA130" s="2"/>
      <c r="AB130" s="41"/>
    </row>
    <row r="131" spans="2:28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  <c r="U131" s="2"/>
      <c r="V131" s="2"/>
      <c r="W131" s="2"/>
      <c r="X131" s="2"/>
      <c r="Y131" s="2"/>
      <c r="Z131" s="2"/>
      <c r="AA131" s="2"/>
      <c r="AB131" s="40"/>
    </row>
    <row r="132" spans="2:28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  <c r="U132" s="2"/>
      <c r="V132" s="2"/>
      <c r="W132" s="2"/>
      <c r="X132" s="2"/>
      <c r="Y132" s="2"/>
      <c r="Z132" s="2"/>
      <c r="AA132" s="2"/>
      <c r="AB132" s="40"/>
    </row>
    <row r="133" spans="2:28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  <c r="U133" s="2"/>
      <c r="V133" s="2"/>
      <c r="W133" s="2"/>
      <c r="X133" s="2"/>
      <c r="Y133" s="2"/>
      <c r="Z133" s="2"/>
      <c r="AA133" s="2"/>
      <c r="AB133" s="41"/>
    </row>
    <row r="134" spans="2:28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  <c r="U134" s="2"/>
      <c r="V134" s="2"/>
      <c r="W134" s="2"/>
      <c r="X134" s="2"/>
      <c r="Y134" s="2"/>
      <c r="Z134" s="2"/>
      <c r="AA134" s="2"/>
      <c r="AB134" s="41"/>
    </row>
    <row r="135" spans="2:28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  <c r="U135" s="2"/>
      <c r="V135" s="2"/>
      <c r="W135" s="2"/>
      <c r="X135" s="2"/>
      <c r="Y135" s="2"/>
      <c r="Z135" s="2"/>
      <c r="AA135" s="2"/>
      <c r="AB135" s="40"/>
    </row>
    <row r="136" spans="2:28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  <c r="U136" s="2"/>
      <c r="V136" s="2"/>
      <c r="W136" s="2"/>
      <c r="X136" s="2"/>
      <c r="Y136" s="2"/>
      <c r="Z136" s="2"/>
      <c r="AA136" s="2"/>
      <c r="AB136" s="41"/>
    </row>
    <row r="137" spans="2:28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  <c r="U137" s="2"/>
      <c r="V137" s="2"/>
      <c r="W137" s="2"/>
      <c r="X137" s="2"/>
      <c r="Y137" s="2"/>
      <c r="Z137" s="2"/>
      <c r="AA137" s="2"/>
      <c r="AB137" s="41"/>
    </row>
    <row r="138" spans="2:28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  <c r="U138" s="2"/>
      <c r="V138" s="2"/>
      <c r="W138" s="2"/>
      <c r="X138" s="2"/>
      <c r="Y138" s="2"/>
      <c r="Z138" s="2"/>
      <c r="AA138" s="2"/>
      <c r="AB138" s="40"/>
    </row>
    <row r="139" spans="2:28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  <c r="U139" s="2"/>
      <c r="V139" s="2"/>
      <c r="W139" s="2"/>
      <c r="X139" s="2"/>
      <c r="Y139" s="2"/>
      <c r="Z139" s="2"/>
      <c r="AA139" s="2"/>
      <c r="AB139" s="40"/>
    </row>
    <row r="140" spans="2:28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  <c r="U140" s="2"/>
      <c r="V140" s="2"/>
      <c r="W140" s="2"/>
      <c r="X140" s="2"/>
      <c r="Y140" s="2"/>
      <c r="Z140" s="2"/>
      <c r="AA140" s="2"/>
      <c r="AB140" s="40"/>
    </row>
    <row r="141" spans="2:28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  <c r="U141" s="2"/>
      <c r="V141" s="2"/>
      <c r="W141" s="2"/>
      <c r="X141" s="2"/>
      <c r="Y141" s="2"/>
      <c r="Z141" s="2"/>
      <c r="AA141" s="2"/>
      <c r="AB141" s="40"/>
    </row>
    <row r="142" spans="2:28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  <c r="U142" s="2"/>
      <c r="V142" s="2"/>
      <c r="W142" s="2"/>
      <c r="X142" s="2"/>
      <c r="Y142" s="2"/>
      <c r="Z142" s="2"/>
      <c r="AA142" s="2"/>
      <c r="AB142" s="41"/>
    </row>
    <row r="143" spans="2:28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  <c r="U143" s="2"/>
      <c r="V143" s="2"/>
      <c r="W143" s="2"/>
      <c r="X143" s="2"/>
      <c r="Y143" s="2"/>
      <c r="Z143" s="2"/>
      <c r="AA143" s="2"/>
      <c r="AB143" s="40"/>
    </row>
    <row r="144" spans="2:28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  <c r="U144" s="2"/>
      <c r="V144" s="2"/>
      <c r="W144" s="2"/>
      <c r="X144" s="2"/>
      <c r="Y144" s="2"/>
      <c r="Z144" s="2"/>
      <c r="AA144" s="2"/>
      <c r="AB144" s="41"/>
    </row>
    <row r="145" spans="2:28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  <c r="U145" s="2"/>
      <c r="V145" s="2"/>
      <c r="W145" s="2"/>
      <c r="X145" s="2"/>
      <c r="Y145" s="2"/>
      <c r="Z145" s="2"/>
      <c r="AA145" s="2"/>
      <c r="AB145" s="41"/>
    </row>
    <row r="146" spans="2:28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  <c r="U146" s="2"/>
      <c r="V146" s="2"/>
      <c r="W146" s="2"/>
      <c r="X146" s="2"/>
      <c r="Y146" s="2"/>
      <c r="Z146" s="2"/>
      <c r="AA146" s="2"/>
      <c r="AB146" s="41"/>
    </row>
    <row r="147" spans="2:28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  <c r="U147" s="2"/>
      <c r="V147" s="2"/>
      <c r="W147" s="2"/>
      <c r="X147" s="2"/>
      <c r="Y147" s="2"/>
      <c r="Z147" s="2"/>
      <c r="AA147" s="2"/>
      <c r="AB147" s="41"/>
    </row>
    <row r="148" spans="2:28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  <c r="U148" s="2"/>
      <c r="V148" s="2"/>
      <c r="W148" s="2"/>
      <c r="X148" s="2"/>
      <c r="Y148" s="2"/>
      <c r="Z148" s="2"/>
      <c r="AA148" s="2"/>
      <c r="AB148" s="41"/>
    </row>
    <row r="149" spans="2:28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  <c r="U149" s="2"/>
      <c r="V149" s="2"/>
      <c r="W149" s="2"/>
      <c r="X149" s="2"/>
      <c r="Y149" s="2"/>
      <c r="Z149" s="2"/>
      <c r="AA149" s="2"/>
      <c r="AB149" s="41"/>
    </row>
    <row r="150" spans="2:28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  <c r="U150" s="2"/>
      <c r="V150" s="2"/>
      <c r="W150" s="2"/>
      <c r="X150" s="2"/>
      <c r="Y150" s="2"/>
      <c r="Z150" s="2"/>
      <c r="AA150" s="2"/>
      <c r="AB150" s="41"/>
    </row>
    <row r="151" spans="2:28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  <c r="U151" s="2"/>
      <c r="V151" s="2"/>
      <c r="W151" s="2"/>
      <c r="X151" s="2"/>
      <c r="Y151" s="2"/>
      <c r="Z151" s="2"/>
      <c r="AA151" s="2"/>
      <c r="AB151" s="41"/>
    </row>
    <row r="152" spans="2:28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  <c r="U152" s="2"/>
      <c r="V152" s="2"/>
      <c r="W152" s="2"/>
      <c r="X152" s="2"/>
      <c r="Y152" s="2"/>
      <c r="Z152" s="2"/>
      <c r="AA152" s="2"/>
      <c r="AB152" s="41"/>
    </row>
    <row r="153" spans="2:28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  <c r="U153" s="2"/>
      <c r="V153" s="2"/>
      <c r="W153" s="2"/>
      <c r="X153" s="2"/>
      <c r="Y153" s="2"/>
      <c r="Z153" s="2"/>
      <c r="AA153" s="2"/>
      <c r="AB153" s="41"/>
    </row>
    <row r="154" spans="2:28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  <c r="U154" s="2"/>
      <c r="V154" s="2"/>
      <c r="W154" s="2"/>
      <c r="X154" s="2"/>
      <c r="Y154" s="2"/>
      <c r="Z154" s="2"/>
      <c r="AA154" s="2"/>
      <c r="AB154" s="41"/>
    </row>
    <row r="155" spans="2:28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  <c r="U155" s="2"/>
      <c r="V155" s="2"/>
      <c r="W155" s="2"/>
      <c r="X155" s="2"/>
      <c r="Y155" s="2"/>
      <c r="Z155" s="2"/>
      <c r="AA155" s="2"/>
      <c r="AB155" s="41"/>
    </row>
    <row r="156" spans="2:28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  <c r="U156" s="2"/>
      <c r="V156" s="2"/>
      <c r="W156" s="2"/>
      <c r="X156" s="2"/>
      <c r="Y156" s="2"/>
      <c r="Z156" s="2"/>
      <c r="AA156" s="2"/>
      <c r="AB156" s="41"/>
    </row>
    <row r="157" spans="2:28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  <c r="U157" s="2"/>
      <c r="V157" s="2"/>
      <c r="W157" s="2"/>
      <c r="X157" s="2"/>
      <c r="Y157" s="2"/>
      <c r="Z157" s="2"/>
      <c r="AA157" s="2"/>
      <c r="AB157" s="41"/>
    </row>
    <row r="158" spans="2:28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  <c r="U158" s="2"/>
      <c r="V158" s="2"/>
      <c r="W158" s="2"/>
      <c r="X158" s="2"/>
      <c r="Y158" s="2"/>
      <c r="Z158" s="2"/>
      <c r="AA158" s="2"/>
      <c r="AB158" s="41"/>
    </row>
    <row r="159" spans="2:28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  <c r="U159" s="2"/>
      <c r="V159" s="2"/>
      <c r="W159" s="2"/>
      <c r="X159" s="2"/>
      <c r="Y159" s="2"/>
      <c r="Z159" s="2"/>
      <c r="AA159" s="2"/>
      <c r="AB159" s="41"/>
    </row>
    <row r="160" spans="2:28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  <c r="U160" s="2"/>
      <c r="V160" s="2"/>
      <c r="W160" s="2"/>
      <c r="X160" s="2"/>
      <c r="Y160" s="2"/>
      <c r="Z160" s="2"/>
      <c r="AA160" s="2"/>
      <c r="AB160" s="41"/>
    </row>
    <row r="161" spans="2:28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  <c r="U161" s="2"/>
      <c r="V161" s="2"/>
      <c r="W161" s="2"/>
      <c r="X161" s="2"/>
      <c r="Y161" s="2"/>
      <c r="Z161" s="2"/>
      <c r="AA161" s="2"/>
      <c r="AB161" s="41"/>
    </row>
    <row r="162" spans="2:28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  <c r="U162" s="2"/>
      <c r="V162" s="2"/>
      <c r="W162" s="2"/>
      <c r="X162" s="2"/>
      <c r="Y162" s="2"/>
      <c r="Z162" s="2"/>
      <c r="AA162" s="2"/>
      <c r="AB162" s="41"/>
    </row>
    <row r="163" spans="2:28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  <c r="U163" s="2"/>
      <c r="V163" s="2"/>
      <c r="W163" s="2"/>
      <c r="X163" s="2"/>
      <c r="Y163" s="2"/>
      <c r="Z163" s="2"/>
      <c r="AA163" s="2"/>
      <c r="AB163" s="41"/>
    </row>
    <row r="164" spans="2:28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  <c r="U164" s="2"/>
      <c r="V164" s="2"/>
      <c r="W164" s="2"/>
      <c r="X164" s="2"/>
      <c r="Y164" s="2"/>
      <c r="Z164" s="2"/>
      <c r="AA164" s="2"/>
      <c r="AB164" s="41"/>
    </row>
    <row r="165" spans="2:28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  <c r="U165" s="2"/>
      <c r="V165" s="2"/>
      <c r="W165" s="2"/>
      <c r="X165" s="2"/>
      <c r="Y165" s="2"/>
      <c r="Z165" s="2"/>
      <c r="AA165" s="2"/>
      <c r="AB165" s="41"/>
    </row>
    <row r="166" spans="2:28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  <c r="U166" s="2"/>
      <c r="V166" s="2"/>
      <c r="W166" s="2"/>
      <c r="X166" s="2"/>
      <c r="Y166" s="2"/>
      <c r="Z166" s="2"/>
      <c r="AA166" s="2"/>
      <c r="AB166" s="41"/>
    </row>
    <row r="167" spans="2:28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  <c r="U167" s="2"/>
      <c r="V167" s="2"/>
      <c r="W167" s="2"/>
      <c r="X167" s="2"/>
      <c r="Y167" s="2"/>
      <c r="Z167" s="2"/>
      <c r="AA167" s="2"/>
      <c r="AB167" s="41"/>
    </row>
    <row r="168" spans="2:28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  <c r="U168" s="2"/>
      <c r="V168" s="2"/>
      <c r="W168" s="2"/>
      <c r="X168" s="2"/>
      <c r="Y168" s="2"/>
      <c r="Z168" s="2"/>
      <c r="AA168" s="2"/>
      <c r="AB168" s="41"/>
    </row>
    <row r="169" spans="2:28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  <c r="U169" s="2"/>
      <c r="V169" s="2"/>
      <c r="W169" s="2"/>
      <c r="X169" s="2"/>
      <c r="Y169" s="2"/>
      <c r="Z169" s="2"/>
      <c r="AA169" s="2"/>
      <c r="AB169" s="41"/>
    </row>
    <row r="170" spans="2:28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  <c r="U170" s="2"/>
      <c r="V170" s="2"/>
      <c r="W170" s="2"/>
      <c r="X170" s="2"/>
      <c r="Y170" s="2"/>
      <c r="Z170" s="2"/>
      <c r="AA170" s="2"/>
      <c r="AB170" s="41"/>
    </row>
    <row r="171" spans="2:28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  <c r="U171" s="2"/>
      <c r="V171" s="2"/>
      <c r="W171" s="2"/>
      <c r="X171" s="2"/>
      <c r="Y171" s="2"/>
      <c r="Z171" s="2"/>
      <c r="AA171" s="2"/>
      <c r="AB171" s="40"/>
    </row>
    <row r="172" spans="2:28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  <c r="U172" s="2"/>
      <c r="V172" s="2"/>
      <c r="W172" s="2"/>
      <c r="X172" s="2"/>
      <c r="Y172" s="2"/>
      <c r="Z172" s="2"/>
      <c r="AA172" s="2"/>
      <c r="AB172" s="41"/>
    </row>
    <row r="173" spans="2:28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  <c r="U173" s="2"/>
      <c r="V173" s="2"/>
      <c r="W173" s="2"/>
      <c r="X173" s="2"/>
      <c r="Y173" s="2"/>
      <c r="Z173" s="2"/>
      <c r="AA173" s="2"/>
      <c r="AB173" s="41"/>
    </row>
    <row r="174" spans="2:28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  <c r="U174" s="2"/>
      <c r="V174" s="2"/>
      <c r="W174" s="2"/>
      <c r="X174" s="2"/>
      <c r="Y174" s="2"/>
      <c r="Z174" s="2"/>
      <c r="AA174" s="2"/>
      <c r="AB174" s="40"/>
    </row>
    <row r="175" spans="2:28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  <c r="U175" s="2"/>
      <c r="V175" s="2"/>
      <c r="W175" s="2"/>
      <c r="X175" s="2"/>
      <c r="Y175" s="2"/>
      <c r="Z175" s="2"/>
      <c r="AA175" s="2"/>
      <c r="AB175" s="40"/>
    </row>
    <row r="176" spans="2:28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  <c r="U176" s="2"/>
      <c r="V176" s="2"/>
      <c r="W176" s="2"/>
      <c r="X176" s="2"/>
      <c r="Y176" s="2"/>
      <c r="Z176" s="2"/>
      <c r="AA176" s="2"/>
      <c r="AB176" s="40"/>
    </row>
    <row r="177" spans="2:28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  <c r="U177" s="2"/>
      <c r="V177" s="2"/>
      <c r="W177" s="2"/>
      <c r="X177" s="2"/>
      <c r="Y177" s="2"/>
      <c r="Z177" s="2"/>
      <c r="AA177" s="2"/>
      <c r="AB177" s="40"/>
    </row>
    <row r="178" spans="2:28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  <c r="U178" s="2"/>
      <c r="V178" s="2"/>
      <c r="W178" s="2"/>
      <c r="X178" s="2"/>
      <c r="Y178" s="2"/>
      <c r="Z178" s="2"/>
      <c r="AA178" s="2"/>
      <c r="AB178" s="41"/>
    </row>
    <row r="179" spans="2:28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  <c r="U179" s="2"/>
      <c r="V179" s="2"/>
      <c r="W179" s="2"/>
      <c r="X179" s="2"/>
      <c r="Y179" s="2"/>
      <c r="Z179" s="2"/>
      <c r="AA179" s="2"/>
      <c r="AB179" s="40"/>
    </row>
    <row r="180" spans="2:28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  <c r="U180" s="2"/>
      <c r="V180" s="2"/>
      <c r="W180" s="2"/>
      <c r="X180" s="2"/>
      <c r="Y180" s="2"/>
      <c r="Z180" s="2"/>
      <c r="AA180" s="2"/>
      <c r="AB180" s="40"/>
    </row>
    <row r="181" spans="2:28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  <c r="U181" s="2"/>
      <c r="V181" s="2"/>
      <c r="W181" s="2"/>
      <c r="X181" s="2"/>
      <c r="Y181" s="2"/>
      <c r="Z181" s="2"/>
      <c r="AA181" s="2"/>
      <c r="AB181" s="41"/>
    </row>
    <row r="182" spans="2:28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  <c r="U182" s="2"/>
      <c r="V182" s="2"/>
      <c r="W182" s="2"/>
      <c r="X182" s="2"/>
      <c r="Y182" s="2"/>
      <c r="Z182" s="2"/>
      <c r="AA182" s="2"/>
      <c r="AB182" s="40"/>
    </row>
    <row r="183" spans="2:28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  <c r="U183" s="2"/>
      <c r="V183" s="2"/>
      <c r="W183" s="2"/>
      <c r="X183" s="2"/>
      <c r="Y183" s="2"/>
      <c r="Z183" s="2"/>
      <c r="AA183" s="2"/>
      <c r="AB183" s="41"/>
    </row>
    <row r="184" spans="2:28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  <c r="U184" s="2"/>
      <c r="V184" s="2"/>
      <c r="W184" s="2"/>
      <c r="X184" s="2"/>
      <c r="Y184" s="2"/>
      <c r="Z184" s="2"/>
      <c r="AA184" s="2"/>
      <c r="AB184" s="41"/>
    </row>
    <row r="185" spans="2:28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  <c r="U185" s="2"/>
      <c r="V185" s="2"/>
      <c r="W185" s="2"/>
      <c r="X185" s="2"/>
      <c r="Y185" s="2"/>
      <c r="Z185" s="2"/>
      <c r="AA185" s="2"/>
      <c r="AB185" s="40"/>
    </row>
    <row r="186" spans="2:28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  <c r="U186" s="2"/>
      <c r="V186" s="2"/>
      <c r="W186" s="2"/>
      <c r="X186" s="2"/>
      <c r="Y186" s="2"/>
      <c r="Z186" s="2"/>
      <c r="AA186" s="2"/>
      <c r="AB186" s="40"/>
    </row>
    <row r="187" spans="2:28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  <c r="U187" s="2"/>
      <c r="V187" s="2"/>
      <c r="W187" s="2"/>
      <c r="X187" s="2"/>
      <c r="Y187" s="2"/>
      <c r="Z187" s="2"/>
      <c r="AA187" s="2"/>
      <c r="AB187" s="40"/>
    </row>
    <row r="188" spans="2:28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  <c r="U188" s="2"/>
      <c r="V188" s="2"/>
      <c r="W188" s="2"/>
      <c r="X188" s="2"/>
      <c r="Y188" s="2"/>
      <c r="Z188" s="2"/>
      <c r="AA188" s="2"/>
      <c r="AB188" s="40"/>
    </row>
    <row r="189" spans="2:28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  <c r="U189" s="2"/>
      <c r="V189" s="2"/>
      <c r="W189" s="2"/>
      <c r="X189" s="2"/>
      <c r="Y189" s="2"/>
      <c r="Z189" s="2"/>
      <c r="AA189" s="2"/>
      <c r="AB189" s="41"/>
    </row>
    <row r="190" spans="2:28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  <c r="U190" s="2"/>
      <c r="V190" s="2"/>
      <c r="W190" s="2"/>
      <c r="X190" s="2"/>
      <c r="Y190" s="2"/>
      <c r="Z190" s="2"/>
      <c r="AA190" s="2"/>
      <c r="AB190" s="41"/>
    </row>
    <row r="191" spans="2:28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  <c r="U191" s="2"/>
      <c r="V191" s="2"/>
      <c r="W191" s="2"/>
      <c r="X191" s="2"/>
      <c r="Y191" s="2"/>
      <c r="Z191" s="2"/>
      <c r="AA191" s="2"/>
      <c r="AB191" s="41"/>
    </row>
    <row r="192" spans="2:28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  <c r="U192" s="2"/>
      <c r="V192" s="2"/>
      <c r="W192" s="2"/>
      <c r="X192" s="2"/>
      <c r="Y192" s="2"/>
      <c r="Z192" s="2"/>
      <c r="AA192" s="2"/>
      <c r="AB192" s="41"/>
    </row>
    <row r="193" spans="2:28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  <c r="U193" s="2"/>
      <c r="V193" s="2"/>
      <c r="W193" s="2"/>
      <c r="X193" s="2"/>
      <c r="Y193" s="2"/>
      <c r="Z193" s="2"/>
      <c r="AA193" s="2"/>
      <c r="AB193" s="40"/>
    </row>
    <row r="194" spans="2:28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  <c r="U194" s="2"/>
      <c r="V194" s="2"/>
      <c r="W194" s="2"/>
      <c r="X194" s="2"/>
      <c r="Y194" s="2"/>
      <c r="Z194" s="2"/>
      <c r="AA194" s="2"/>
      <c r="AB194" s="40"/>
    </row>
    <row r="195" spans="2:28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  <c r="U195" s="2"/>
      <c r="V195" s="2"/>
      <c r="W195" s="2"/>
      <c r="X195" s="2"/>
      <c r="Y195" s="2"/>
      <c r="Z195" s="2"/>
      <c r="AA195" s="2"/>
      <c r="AB195" s="40"/>
    </row>
    <row r="196" spans="2:28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  <c r="U196" s="2"/>
      <c r="V196" s="2"/>
      <c r="W196" s="2"/>
      <c r="X196" s="2"/>
      <c r="Y196" s="2"/>
      <c r="Z196" s="2"/>
      <c r="AA196" s="2"/>
      <c r="AB196" s="41"/>
    </row>
    <row r="197" spans="2:28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  <c r="U197" s="2"/>
      <c r="V197" s="2"/>
      <c r="W197" s="2"/>
      <c r="X197" s="2"/>
      <c r="Y197" s="2"/>
      <c r="Z197" s="2"/>
      <c r="AA197" s="2"/>
      <c r="AB197" s="40"/>
    </row>
    <row r="198" spans="2:28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  <c r="U198" s="2"/>
      <c r="V198" s="2"/>
      <c r="W198" s="2"/>
      <c r="X198" s="2"/>
      <c r="Y198" s="2"/>
      <c r="Z198" s="2"/>
      <c r="AA198" s="2"/>
      <c r="AB198" s="40"/>
    </row>
    <row r="199" spans="2:28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  <c r="U199" s="2"/>
      <c r="V199" s="2"/>
      <c r="W199" s="2"/>
      <c r="X199" s="2"/>
      <c r="Y199" s="2"/>
      <c r="Z199" s="2"/>
      <c r="AA199" s="2"/>
      <c r="AB199" s="40"/>
    </row>
    <row r="200" spans="2:28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  <c r="U200" s="2"/>
      <c r="V200" s="2"/>
      <c r="W200" s="2"/>
      <c r="X200" s="2"/>
      <c r="Y200" s="2"/>
      <c r="Z200" s="2"/>
      <c r="AA200" s="2"/>
      <c r="AB200" s="41"/>
    </row>
    <row r="201" spans="2:28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  <c r="U201" s="2"/>
      <c r="V201" s="2"/>
      <c r="W201" s="2"/>
      <c r="X201" s="2"/>
      <c r="Y201" s="2"/>
      <c r="Z201" s="2"/>
      <c r="AA201" s="2"/>
      <c r="AB201" s="40"/>
    </row>
    <row r="202" spans="2:28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  <c r="U202" s="2"/>
      <c r="V202" s="2"/>
      <c r="W202" s="2"/>
      <c r="X202" s="2"/>
      <c r="Y202" s="2"/>
      <c r="Z202" s="2"/>
      <c r="AA202" s="2"/>
      <c r="AB202" s="40"/>
    </row>
    <row r="203" spans="2:28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  <c r="U203" s="2"/>
      <c r="V203" s="2"/>
      <c r="W203" s="2"/>
      <c r="X203" s="2"/>
      <c r="Y203" s="2"/>
      <c r="Z203" s="2"/>
      <c r="AA203" s="2"/>
      <c r="AB203" s="40"/>
    </row>
    <row r="204" spans="2:28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  <c r="U204" s="2"/>
      <c r="V204" s="2"/>
      <c r="W204" s="2"/>
      <c r="X204" s="2"/>
      <c r="Y204" s="2"/>
      <c r="Z204" s="2"/>
      <c r="AA204" s="2"/>
      <c r="AB204" s="40"/>
    </row>
    <row r="205" spans="2:28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  <c r="U205" s="2"/>
      <c r="V205" s="2"/>
      <c r="W205" s="2"/>
      <c r="X205" s="2"/>
      <c r="Y205" s="2"/>
      <c r="Z205" s="2"/>
      <c r="AA205" s="2"/>
      <c r="AB205" s="41"/>
    </row>
    <row r="206" spans="2:28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  <c r="U206" s="2"/>
      <c r="V206" s="2"/>
      <c r="W206" s="2"/>
      <c r="X206" s="2"/>
      <c r="Y206" s="2"/>
      <c r="Z206" s="2"/>
      <c r="AA206" s="2"/>
      <c r="AB206" s="40"/>
    </row>
    <row r="207" spans="2:28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  <c r="U207" s="2"/>
      <c r="V207" s="2"/>
      <c r="W207" s="2"/>
      <c r="X207" s="2"/>
      <c r="Y207" s="2"/>
      <c r="Z207" s="2"/>
      <c r="AA207" s="2"/>
      <c r="AB207" s="41"/>
    </row>
    <row r="208" spans="2:28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  <c r="U208" s="2"/>
      <c r="V208" s="2"/>
      <c r="W208" s="2"/>
      <c r="X208" s="2"/>
      <c r="Y208" s="2"/>
      <c r="Z208" s="2"/>
      <c r="AA208" s="2"/>
      <c r="AB208" s="40"/>
    </row>
    <row r="209" spans="2:28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  <c r="U209" s="2"/>
      <c r="V209" s="2"/>
      <c r="W209" s="2"/>
      <c r="X209" s="2"/>
      <c r="Y209" s="2"/>
      <c r="Z209" s="2"/>
      <c r="AA209" s="2"/>
      <c r="AB209" s="41"/>
    </row>
    <row r="210" spans="2:28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  <c r="U210" s="2"/>
      <c r="V210" s="2"/>
      <c r="W210" s="2"/>
      <c r="X210" s="2"/>
      <c r="Y210" s="2"/>
      <c r="Z210" s="2"/>
      <c r="AA210" s="2"/>
      <c r="AB210" s="40"/>
    </row>
    <row r="211" spans="2:28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  <c r="U211" s="2"/>
      <c r="V211" s="2"/>
      <c r="W211" s="2"/>
      <c r="X211" s="2"/>
      <c r="Y211" s="2"/>
      <c r="Z211" s="2"/>
      <c r="AA211" s="2"/>
      <c r="AB211" s="40"/>
    </row>
    <row r="212" spans="2:28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  <c r="U212" s="2"/>
      <c r="V212" s="2"/>
      <c r="W212" s="2"/>
      <c r="X212" s="2"/>
      <c r="Y212" s="2"/>
      <c r="Z212" s="2"/>
      <c r="AA212" s="2"/>
      <c r="AB212" s="40"/>
    </row>
    <row r="213" spans="2:28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  <c r="U213" s="2"/>
      <c r="V213" s="2"/>
      <c r="W213" s="2"/>
      <c r="X213" s="2"/>
      <c r="Y213" s="2"/>
      <c r="Z213" s="2"/>
      <c r="AA213" s="2"/>
      <c r="AB213" s="40"/>
    </row>
    <row r="214" spans="2:28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  <c r="U214" s="2"/>
      <c r="V214" s="2"/>
      <c r="W214" s="2"/>
      <c r="X214" s="2"/>
      <c r="Y214" s="2"/>
      <c r="Z214" s="2"/>
      <c r="AA214" s="2"/>
      <c r="AB214" s="40"/>
    </row>
    <row r="215" spans="2:28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  <c r="U215" s="2"/>
      <c r="V215" s="2"/>
      <c r="W215" s="2"/>
      <c r="X215" s="2"/>
      <c r="Y215" s="2"/>
      <c r="Z215" s="2"/>
      <c r="AA215" s="2"/>
      <c r="AB215" s="40"/>
    </row>
    <row r="216" spans="2:28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  <c r="U216" s="2"/>
      <c r="V216" s="2"/>
      <c r="W216" s="2"/>
      <c r="X216" s="2"/>
      <c r="Y216" s="2"/>
      <c r="Z216" s="2"/>
      <c r="AA216" s="2"/>
      <c r="AB216" s="41"/>
    </row>
    <row r="217" spans="2:28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  <c r="U217" s="2"/>
      <c r="V217" s="2"/>
      <c r="W217" s="2"/>
      <c r="X217" s="2"/>
      <c r="Y217" s="2"/>
      <c r="Z217" s="2"/>
      <c r="AA217" s="2"/>
      <c r="AB217" s="41"/>
    </row>
    <row r="218" spans="2:28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  <c r="U218" s="2"/>
      <c r="V218" s="2"/>
      <c r="W218" s="2"/>
      <c r="X218" s="2"/>
      <c r="Y218" s="2"/>
      <c r="Z218" s="2"/>
      <c r="AA218" s="2"/>
      <c r="AB218" s="40"/>
    </row>
    <row r="219" spans="2:28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  <c r="U219" s="2"/>
      <c r="V219" s="2"/>
      <c r="W219" s="2"/>
      <c r="X219" s="2"/>
      <c r="Y219" s="2"/>
      <c r="Z219" s="2"/>
      <c r="AA219" s="2"/>
      <c r="AB219" s="41"/>
    </row>
    <row r="220" spans="2:28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  <c r="U220" s="2"/>
      <c r="V220" s="2"/>
      <c r="W220" s="2"/>
      <c r="X220" s="2"/>
      <c r="Y220" s="2"/>
      <c r="Z220" s="2"/>
      <c r="AA220" s="2"/>
      <c r="AB220" s="41"/>
    </row>
    <row r="221" spans="2:28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  <c r="U221" s="2"/>
      <c r="V221" s="2"/>
      <c r="W221" s="2"/>
      <c r="X221" s="2"/>
      <c r="Y221" s="2"/>
      <c r="Z221" s="2"/>
      <c r="AA221" s="2"/>
      <c r="AB221" s="40"/>
    </row>
    <row r="222" spans="2:28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  <c r="U222" s="2"/>
      <c r="V222" s="2"/>
      <c r="W222" s="2"/>
      <c r="X222" s="2"/>
      <c r="Y222" s="2"/>
      <c r="Z222" s="2"/>
      <c r="AA222" s="2"/>
      <c r="AB222" s="41"/>
    </row>
    <row r="223" spans="2:28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  <c r="U223" s="2"/>
      <c r="V223" s="2"/>
      <c r="W223" s="2"/>
      <c r="X223" s="2"/>
      <c r="Y223" s="2"/>
      <c r="Z223" s="2"/>
      <c r="AA223" s="2"/>
      <c r="AB223" s="41"/>
    </row>
    <row r="224" spans="2:28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  <c r="U224" s="2"/>
      <c r="V224" s="2"/>
      <c r="W224" s="2"/>
      <c r="X224" s="2"/>
      <c r="Y224" s="2"/>
      <c r="Z224" s="2"/>
      <c r="AA224" s="2"/>
      <c r="AB224" s="40"/>
    </row>
    <row r="225" spans="2:28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  <c r="U225" s="2"/>
      <c r="V225" s="2"/>
      <c r="W225" s="2"/>
      <c r="X225" s="2"/>
      <c r="Y225" s="2"/>
      <c r="Z225" s="2"/>
      <c r="AA225" s="2"/>
      <c r="AB225" s="41"/>
    </row>
    <row r="226" spans="2:28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  <c r="U226" s="2"/>
      <c r="V226" s="2"/>
      <c r="W226" s="2"/>
      <c r="X226" s="2"/>
      <c r="Y226" s="2"/>
      <c r="Z226" s="2"/>
      <c r="AA226" s="2"/>
      <c r="AB226" s="40"/>
    </row>
    <row r="227" spans="2:28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  <c r="U227" s="2"/>
      <c r="V227" s="2"/>
      <c r="W227" s="2"/>
      <c r="X227" s="2"/>
      <c r="Y227" s="2"/>
      <c r="Z227" s="2"/>
      <c r="AA227" s="2"/>
      <c r="AB227" s="40"/>
    </row>
    <row r="228" spans="2:28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  <c r="U228" s="2"/>
      <c r="V228" s="2"/>
      <c r="W228" s="2"/>
      <c r="X228" s="2"/>
      <c r="Y228" s="2"/>
      <c r="Z228" s="2"/>
      <c r="AA228" s="2"/>
      <c r="AB228" s="40"/>
    </row>
    <row r="229" spans="2:28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  <c r="U229" s="2"/>
      <c r="V229" s="2"/>
      <c r="W229" s="2"/>
      <c r="X229" s="2"/>
      <c r="Y229" s="2"/>
      <c r="Z229" s="2"/>
      <c r="AA229" s="2"/>
      <c r="AB229" s="40"/>
    </row>
    <row r="230" spans="2:28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  <c r="U230" s="2"/>
      <c r="V230" s="2"/>
      <c r="W230" s="2"/>
      <c r="X230" s="2"/>
      <c r="Y230" s="2"/>
      <c r="Z230" s="2"/>
      <c r="AA230" s="2"/>
      <c r="AB230" s="40"/>
    </row>
    <row r="231" spans="2:28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  <c r="U231" s="2"/>
      <c r="V231" s="2"/>
      <c r="W231" s="2"/>
      <c r="X231" s="2"/>
      <c r="Y231" s="2"/>
      <c r="Z231" s="2"/>
      <c r="AA231" s="2"/>
      <c r="AB231" s="40"/>
    </row>
    <row r="232" spans="2:28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  <c r="U232" s="2"/>
      <c r="V232" s="2"/>
      <c r="W232" s="2"/>
      <c r="X232" s="2"/>
      <c r="Y232" s="2"/>
      <c r="Z232" s="2"/>
      <c r="AA232" s="2"/>
      <c r="AB232" s="40"/>
    </row>
    <row r="233" spans="2:28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  <c r="U233" s="2"/>
      <c r="V233" s="2"/>
      <c r="W233" s="2"/>
      <c r="X233" s="2"/>
      <c r="Y233" s="2"/>
      <c r="Z233" s="2"/>
      <c r="AA233" s="2"/>
      <c r="AB233" s="41"/>
    </row>
    <row r="234" spans="2:28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  <c r="U234" s="2"/>
      <c r="V234" s="2"/>
      <c r="W234" s="2"/>
      <c r="X234" s="2"/>
      <c r="Y234" s="2"/>
      <c r="Z234" s="2"/>
      <c r="AA234" s="2"/>
      <c r="AB234" s="40"/>
    </row>
    <row r="235" spans="2:28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  <c r="U235" s="2"/>
      <c r="V235" s="2"/>
      <c r="W235" s="2"/>
      <c r="X235" s="2"/>
      <c r="Y235" s="2"/>
      <c r="Z235" s="2"/>
      <c r="AA235" s="2"/>
      <c r="AB235" s="41"/>
    </row>
    <row r="236" spans="2:28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  <c r="U236" s="2"/>
      <c r="V236" s="2"/>
      <c r="W236" s="2"/>
      <c r="X236" s="2"/>
      <c r="Y236" s="2"/>
      <c r="Z236" s="2"/>
      <c r="AA236" s="2"/>
      <c r="AB236" s="40"/>
    </row>
    <row r="237" spans="2:28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  <c r="U237" s="2"/>
      <c r="V237" s="2"/>
      <c r="W237" s="2"/>
      <c r="X237" s="2"/>
      <c r="Y237" s="2"/>
      <c r="Z237" s="2"/>
      <c r="AA237" s="2"/>
      <c r="AB237" s="40"/>
    </row>
    <row r="238" spans="2:28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  <c r="U238" s="2"/>
      <c r="V238" s="2"/>
      <c r="W238" s="2"/>
      <c r="X238" s="2"/>
      <c r="Y238" s="2"/>
      <c r="Z238" s="2"/>
      <c r="AA238" s="2"/>
      <c r="AB238" s="40"/>
    </row>
    <row r="239" spans="2:28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  <c r="U239" s="2"/>
      <c r="V239" s="2"/>
      <c r="W239" s="2"/>
      <c r="X239" s="2"/>
      <c r="Y239" s="2"/>
      <c r="Z239" s="2"/>
      <c r="AA239" s="2"/>
      <c r="AB239" s="41"/>
    </row>
    <row r="240" spans="2:28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  <c r="U240" s="2"/>
      <c r="V240" s="2"/>
      <c r="W240" s="2"/>
      <c r="X240" s="2"/>
      <c r="Y240" s="2"/>
      <c r="Z240" s="2"/>
      <c r="AA240" s="2"/>
      <c r="AB240" s="40"/>
    </row>
    <row r="241" spans="2:28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  <c r="U241" s="2"/>
      <c r="V241" s="2"/>
      <c r="W241" s="2"/>
      <c r="X241" s="2"/>
      <c r="Y241" s="2"/>
      <c r="Z241" s="2"/>
      <c r="AA241" s="2"/>
      <c r="AB241" s="40"/>
    </row>
    <row r="242" spans="2:28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  <c r="U242" s="2"/>
      <c r="V242" s="2"/>
      <c r="W242" s="2"/>
      <c r="X242" s="2"/>
      <c r="Y242" s="2"/>
      <c r="Z242" s="2"/>
      <c r="AA242" s="2"/>
      <c r="AB242" s="41"/>
    </row>
    <row r="243" spans="2:28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  <c r="U243" s="2"/>
      <c r="V243" s="2"/>
      <c r="W243" s="2"/>
      <c r="X243" s="2"/>
      <c r="Y243" s="2"/>
      <c r="Z243" s="2"/>
      <c r="AA243" s="2"/>
      <c r="AB243" s="40"/>
    </row>
    <row r="244" spans="2:28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  <c r="U244" s="2"/>
      <c r="V244" s="2"/>
      <c r="W244" s="2"/>
      <c r="X244" s="2"/>
      <c r="Y244" s="2"/>
      <c r="Z244" s="2"/>
      <c r="AA244" s="2"/>
      <c r="AB244" s="41"/>
    </row>
    <row r="245" spans="2:28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  <c r="U245" s="2"/>
      <c r="V245" s="2"/>
      <c r="W245" s="2"/>
      <c r="X245" s="2"/>
      <c r="Y245" s="2"/>
      <c r="Z245" s="2"/>
      <c r="AA245" s="2"/>
      <c r="AB245" s="40"/>
    </row>
    <row r="246" spans="2:28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  <c r="U246" s="2"/>
      <c r="V246" s="2"/>
      <c r="W246" s="2"/>
      <c r="X246" s="2"/>
      <c r="Y246" s="2"/>
      <c r="Z246" s="2"/>
      <c r="AA246" s="2"/>
      <c r="AB246" s="41"/>
    </row>
    <row r="247" spans="2:28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  <c r="U247" s="2"/>
      <c r="V247" s="2"/>
      <c r="W247" s="2"/>
      <c r="X247" s="2"/>
      <c r="Y247" s="2"/>
      <c r="Z247" s="2"/>
      <c r="AA247" s="2"/>
      <c r="AB247" s="40"/>
    </row>
    <row r="248" spans="2:28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  <c r="U248" s="2"/>
      <c r="V248" s="2"/>
      <c r="W248" s="2"/>
      <c r="X248" s="2"/>
      <c r="Y248" s="2"/>
      <c r="Z248" s="2"/>
      <c r="AA248" s="2"/>
      <c r="AB248" s="41"/>
    </row>
    <row r="249" spans="2:28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  <c r="U249" s="2"/>
      <c r="V249" s="2"/>
      <c r="W249" s="2"/>
      <c r="X249" s="2"/>
      <c r="Y249" s="2"/>
      <c r="Z249" s="2"/>
      <c r="AA249" s="2"/>
      <c r="AB249" s="41"/>
    </row>
    <row r="250" spans="2:28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  <c r="U250" s="2"/>
      <c r="V250" s="2"/>
      <c r="W250" s="2"/>
      <c r="X250" s="2"/>
      <c r="Y250" s="2"/>
      <c r="Z250" s="2"/>
      <c r="AA250" s="2"/>
      <c r="AB250" s="40"/>
    </row>
    <row r="251" spans="2:28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  <c r="U251" s="2"/>
      <c r="V251" s="2"/>
      <c r="W251" s="2"/>
      <c r="X251" s="2"/>
      <c r="Y251" s="2"/>
      <c r="Z251" s="2"/>
      <c r="AA251" s="2"/>
      <c r="AB251" s="40"/>
    </row>
    <row r="252" spans="2:28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  <c r="U252" s="2"/>
      <c r="V252" s="2"/>
      <c r="W252" s="2"/>
      <c r="X252" s="2"/>
      <c r="Y252" s="2"/>
      <c r="Z252" s="2"/>
      <c r="AA252" s="2"/>
      <c r="AB252" s="40"/>
    </row>
    <row r="253" spans="2:28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  <c r="U253" s="2"/>
      <c r="V253" s="2"/>
      <c r="W253" s="2"/>
      <c r="X253" s="2"/>
      <c r="Y253" s="2"/>
      <c r="Z253" s="2"/>
      <c r="AA253" s="2"/>
      <c r="AB253" s="40"/>
    </row>
    <row r="254" spans="2:28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  <c r="U254" s="2"/>
      <c r="V254" s="2"/>
      <c r="W254" s="2"/>
      <c r="X254" s="2"/>
      <c r="Y254" s="2"/>
      <c r="Z254" s="2"/>
      <c r="AA254" s="2"/>
      <c r="AB254" s="41"/>
    </row>
    <row r="255" spans="2:28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  <c r="U255" s="2"/>
      <c r="V255" s="2"/>
      <c r="W255" s="2"/>
      <c r="X255" s="2"/>
      <c r="Y255" s="2"/>
      <c r="Z255" s="2"/>
      <c r="AA255" s="2"/>
      <c r="AB255" s="40"/>
    </row>
    <row r="256" spans="2:28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  <c r="U256" s="2"/>
      <c r="V256" s="2"/>
      <c r="W256" s="2"/>
      <c r="X256" s="2"/>
      <c r="Y256" s="2"/>
      <c r="Z256" s="2"/>
      <c r="AA256" s="2"/>
      <c r="AB256" s="41"/>
    </row>
    <row r="257" spans="2:28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  <c r="U257" s="2"/>
      <c r="V257" s="2"/>
      <c r="W257" s="2"/>
      <c r="X257" s="2"/>
      <c r="Y257" s="2"/>
      <c r="Z257" s="2"/>
      <c r="AA257" s="2"/>
      <c r="AB257" s="40"/>
    </row>
    <row r="258" spans="2:28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  <c r="U258" s="2"/>
      <c r="V258" s="2"/>
      <c r="W258" s="2"/>
      <c r="X258" s="2"/>
      <c r="Y258" s="2"/>
      <c r="Z258" s="2"/>
      <c r="AA258" s="2"/>
      <c r="AB258" s="41"/>
    </row>
    <row r="259" spans="2:28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  <c r="U259" s="2"/>
      <c r="V259" s="2"/>
      <c r="W259" s="2"/>
      <c r="X259" s="2"/>
      <c r="Y259" s="2"/>
      <c r="Z259" s="2"/>
      <c r="AA259" s="2"/>
      <c r="AB259" s="40"/>
    </row>
    <row r="260" spans="2:28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  <c r="U260" s="2"/>
      <c r="V260" s="2"/>
      <c r="W260" s="2"/>
      <c r="X260" s="2"/>
      <c r="Y260" s="2"/>
      <c r="Z260" s="2"/>
      <c r="AA260" s="2"/>
      <c r="AB260" s="41"/>
    </row>
    <row r="261" spans="2:28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  <c r="U261" s="2"/>
      <c r="V261" s="2"/>
      <c r="W261" s="2"/>
      <c r="X261" s="2"/>
      <c r="Y261" s="2"/>
      <c r="Z261" s="2"/>
      <c r="AA261" s="2"/>
      <c r="AB261" s="40"/>
    </row>
    <row r="262" spans="2:28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  <c r="U262" s="2"/>
      <c r="V262" s="2"/>
      <c r="W262" s="2"/>
      <c r="X262" s="2"/>
      <c r="Y262" s="2"/>
      <c r="Z262" s="2"/>
      <c r="AA262" s="2"/>
      <c r="AB262" s="40"/>
    </row>
    <row r="263" spans="2:28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  <c r="U263" s="2"/>
      <c r="V263" s="2"/>
      <c r="W263" s="2"/>
      <c r="X263" s="2"/>
      <c r="Y263" s="2"/>
      <c r="Z263" s="2"/>
      <c r="AA263" s="2"/>
      <c r="AB263" s="40"/>
    </row>
    <row r="264" spans="2:28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  <c r="U264" s="2"/>
      <c r="V264" s="2"/>
      <c r="W264" s="2"/>
      <c r="X264" s="2"/>
      <c r="Y264" s="2"/>
      <c r="Z264" s="2"/>
      <c r="AA264" s="2"/>
      <c r="AB264" s="41"/>
    </row>
    <row r="265" spans="2:28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  <c r="U265" s="2"/>
      <c r="V265" s="2"/>
      <c r="W265" s="2"/>
      <c r="X265" s="2"/>
      <c r="Y265" s="2"/>
      <c r="Z265" s="2"/>
      <c r="AA265" s="2"/>
      <c r="AB265" s="41"/>
    </row>
    <row r="266" spans="2:28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  <c r="U266" s="2"/>
      <c r="V266" s="2"/>
      <c r="W266" s="2"/>
      <c r="X266" s="2"/>
      <c r="Y266" s="2"/>
      <c r="Z266" s="2"/>
      <c r="AA266" s="2"/>
      <c r="AB266" s="40"/>
    </row>
    <row r="267" spans="2:28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  <c r="U267" s="2"/>
      <c r="V267" s="2"/>
      <c r="W267" s="2"/>
      <c r="X267" s="2"/>
      <c r="Y267" s="2"/>
      <c r="Z267" s="2"/>
      <c r="AA267" s="2"/>
      <c r="AB267" s="40"/>
    </row>
    <row r="268" spans="2:28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  <c r="U268" s="2"/>
      <c r="V268" s="2"/>
      <c r="W268" s="2"/>
      <c r="X268" s="2"/>
      <c r="Y268" s="2"/>
      <c r="Z268" s="2"/>
      <c r="AA268" s="2"/>
      <c r="AB268" s="40"/>
    </row>
    <row r="269" spans="2:28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  <c r="U269" s="2"/>
      <c r="V269" s="2"/>
      <c r="W269" s="2"/>
      <c r="X269" s="2"/>
      <c r="Y269" s="2"/>
      <c r="Z269" s="2"/>
      <c r="AA269" s="2"/>
      <c r="AB269" s="40"/>
    </row>
    <row r="270" spans="2:28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  <c r="U270" s="2"/>
      <c r="V270" s="2"/>
      <c r="W270" s="2"/>
      <c r="X270" s="2"/>
      <c r="Y270" s="2"/>
      <c r="Z270" s="2"/>
      <c r="AA270" s="2"/>
      <c r="AB270" s="41"/>
    </row>
    <row r="271" spans="2:28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  <c r="U271" s="2"/>
      <c r="V271" s="2"/>
      <c r="W271" s="2"/>
      <c r="X271" s="2"/>
      <c r="Y271" s="2"/>
      <c r="Z271" s="2"/>
      <c r="AA271" s="2"/>
      <c r="AB271" s="40"/>
    </row>
    <row r="272" spans="2:28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  <c r="U272" s="2"/>
      <c r="V272" s="2"/>
      <c r="W272" s="2"/>
      <c r="X272" s="2"/>
      <c r="Y272" s="2"/>
      <c r="Z272" s="2"/>
      <c r="AA272" s="2"/>
      <c r="AB272" s="41"/>
    </row>
    <row r="273" spans="2:28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  <c r="U273" s="2"/>
      <c r="V273" s="2"/>
      <c r="W273" s="2"/>
      <c r="X273" s="2"/>
      <c r="Y273" s="2"/>
      <c r="Z273" s="2"/>
      <c r="AA273" s="2"/>
      <c r="AB273" s="41"/>
    </row>
    <row r="274" spans="2:28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  <c r="U274" s="2"/>
      <c r="V274" s="2"/>
      <c r="W274" s="2"/>
      <c r="X274" s="2"/>
      <c r="Y274" s="2"/>
      <c r="Z274" s="2"/>
      <c r="AA274" s="2"/>
      <c r="AB274" s="40"/>
    </row>
    <row r="275" spans="2:28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  <c r="U275" s="2"/>
      <c r="V275" s="2"/>
      <c r="W275" s="2"/>
      <c r="X275" s="2"/>
      <c r="Y275" s="2"/>
      <c r="Z275" s="2"/>
      <c r="AA275" s="2"/>
      <c r="AB275" s="41"/>
    </row>
    <row r="276" spans="2:28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  <c r="U276" s="2"/>
      <c r="V276" s="2"/>
      <c r="W276" s="2"/>
      <c r="X276" s="2"/>
      <c r="Y276" s="2"/>
      <c r="Z276" s="2"/>
      <c r="AA276" s="2"/>
      <c r="AB276" s="41"/>
    </row>
    <row r="277" spans="2:28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  <c r="U277" s="2"/>
      <c r="V277" s="2"/>
      <c r="W277" s="2"/>
      <c r="X277" s="2"/>
      <c r="Y277" s="2"/>
      <c r="Z277" s="2"/>
      <c r="AA277" s="2"/>
      <c r="AB277" s="40"/>
    </row>
    <row r="278" spans="2:28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  <c r="U278" s="2"/>
      <c r="V278" s="2"/>
      <c r="W278" s="2"/>
      <c r="X278" s="2"/>
      <c r="Y278" s="2"/>
      <c r="Z278" s="2"/>
      <c r="AA278" s="2"/>
      <c r="AB278" s="41"/>
    </row>
    <row r="279" spans="2:28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  <c r="U279" s="2"/>
      <c r="V279" s="2"/>
      <c r="W279" s="2"/>
      <c r="X279" s="2"/>
      <c r="Y279" s="2"/>
      <c r="Z279" s="2"/>
      <c r="AA279" s="2"/>
      <c r="AB279" s="41"/>
    </row>
    <row r="280" spans="2:28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  <c r="U280" s="2"/>
      <c r="V280" s="2"/>
      <c r="W280" s="2"/>
      <c r="X280" s="2"/>
      <c r="Y280" s="2"/>
      <c r="Z280" s="2"/>
      <c r="AA280" s="2"/>
      <c r="AB280" s="41"/>
    </row>
    <row r="281" spans="2:28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  <c r="U281" s="2"/>
      <c r="V281" s="2"/>
      <c r="W281" s="2"/>
      <c r="X281" s="2"/>
      <c r="Y281" s="2"/>
      <c r="Z281" s="2"/>
      <c r="AA281" s="2"/>
      <c r="AB281" s="41"/>
    </row>
    <row r="282" spans="2:28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  <c r="U282" s="2"/>
      <c r="V282" s="2"/>
      <c r="W282" s="2"/>
      <c r="X282" s="2"/>
      <c r="Y282" s="2"/>
      <c r="Z282" s="2"/>
      <c r="AA282" s="2"/>
      <c r="AB282" s="41"/>
    </row>
    <row r="283" spans="2:28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  <c r="U283" s="2"/>
      <c r="V283" s="2"/>
      <c r="W283" s="2"/>
      <c r="X283" s="2"/>
      <c r="Y283" s="2"/>
      <c r="Z283" s="2"/>
      <c r="AA283" s="2"/>
      <c r="AB283" s="40"/>
    </row>
    <row r="284" spans="2:28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  <c r="U284" s="2"/>
      <c r="V284" s="2"/>
      <c r="W284" s="2"/>
      <c r="X284" s="2"/>
      <c r="Y284" s="2"/>
      <c r="Z284" s="2"/>
      <c r="AA284" s="2"/>
      <c r="AB284" s="41"/>
    </row>
    <row r="285" spans="2:28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  <c r="U285" s="2"/>
      <c r="V285" s="2"/>
      <c r="W285" s="2"/>
      <c r="X285" s="2"/>
      <c r="Y285" s="2"/>
      <c r="Z285" s="2"/>
      <c r="AA285" s="2"/>
      <c r="AB285" s="41"/>
    </row>
    <row r="286" spans="2:28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  <c r="U286" s="2"/>
      <c r="V286" s="2"/>
      <c r="W286" s="2"/>
      <c r="X286" s="2"/>
      <c r="Y286" s="2"/>
      <c r="Z286" s="2"/>
      <c r="AA286" s="2"/>
      <c r="AB286" s="41"/>
    </row>
    <row r="287" spans="2:28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  <c r="U287" s="2"/>
      <c r="V287" s="2"/>
      <c r="W287" s="2"/>
      <c r="X287" s="2"/>
      <c r="Y287" s="2"/>
      <c r="Z287" s="2"/>
      <c r="AA287" s="2"/>
      <c r="AB287" s="40"/>
    </row>
    <row r="288" spans="2:28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  <c r="U288" s="2"/>
      <c r="V288" s="2"/>
      <c r="W288" s="2"/>
      <c r="X288" s="2"/>
      <c r="Y288" s="2"/>
      <c r="Z288" s="2"/>
      <c r="AA288" s="2"/>
      <c r="AB288" s="41"/>
    </row>
    <row r="289" spans="2:28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  <c r="U289" s="2"/>
      <c r="V289" s="2"/>
      <c r="W289" s="2"/>
      <c r="X289" s="2"/>
      <c r="Y289" s="2"/>
      <c r="Z289" s="2"/>
      <c r="AA289" s="2"/>
      <c r="AB289" s="40"/>
    </row>
    <row r="290" spans="2:28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  <c r="U290" s="2"/>
      <c r="V290" s="2"/>
      <c r="W290" s="2"/>
      <c r="X290" s="2"/>
      <c r="Y290" s="2"/>
      <c r="Z290" s="2"/>
      <c r="AA290" s="2"/>
      <c r="AB290" s="41"/>
    </row>
    <row r="291" spans="2:28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  <c r="U291" s="2"/>
      <c r="V291" s="2"/>
      <c r="W291" s="2"/>
      <c r="X291" s="2"/>
      <c r="Y291" s="2"/>
      <c r="Z291" s="2"/>
      <c r="AA291" s="2"/>
      <c r="AB291" s="40"/>
    </row>
    <row r="292" spans="2:28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  <c r="U292" s="2"/>
      <c r="V292" s="2"/>
      <c r="W292" s="2"/>
      <c r="X292" s="2"/>
      <c r="Y292" s="2"/>
      <c r="Z292" s="2"/>
      <c r="AA292" s="2"/>
      <c r="AB292" s="41"/>
    </row>
    <row r="293" spans="2:28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  <c r="U293" s="2"/>
      <c r="V293" s="2"/>
      <c r="W293" s="2"/>
      <c r="X293" s="2"/>
      <c r="Y293" s="2"/>
      <c r="Z293" s="2"/>
      <c r="AA293" s="2"/>
      <c r="AB293" s="40"/>
    </row>
    <row r="294" spans="2:28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  <c r="U294" s="2"/>
      <c r="V294" s="2"/>
      <c r="W294" s="2"/>
      <c r="X294" s="2"/>
      <c r="Y294" s="2"/>
      <c r="Z294" s="2"/>
      <c r="AA294" s="2"/>
      <c r="AB294" s="40"/>
    </row>
    <row r="295" spans="2:28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  <c r="U295" s="2"/>
      <c r="V295" s="2"/>
      <c r="W295" s="2"/>
      <c r="X295" s="2"/>
      <c r="Y295" s="2"/>
      <c r="Z295" s="2"/>
      <c r="AA295" s="2"/>
      <c r="AB295" s="41"/>
    </row>
    <row r="296" spans="2:28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  <c r="U296" s="2"/>
      <c r="V296" s="2"/>
      <c r="W296" s="2"/>
      <c r="X296" s="2"/>
      <c r="Y296" s="2"/>
      <c r="Z296" s="2"/>
      <c r="AA296" s="2"/>
      <c r="AB296" s="41"/>
    </row>
    <row r="297" spans="2:28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  <c r="U297" s="2"/>
      <c r="V297" s="2"/>
      <c r="W297" s="2"/>
      <c r="X297" s="2"/>
      <c r="Y297" s="2"/>
      <c r="Z297" s="2"/>
      <c r="AA297" s="2"/>
      <c r="AB297" s="40"/>
    </row>
    <row r="298" spans="2:28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  <c r="U298" s="2"/>
      <c r="V298" s="2"/>
      <c r="W298" s="2"/>
      <c r="X298" s="2"/>
      <c r="Y298" s="2"/>
      <c r="Z298" s="2"/>
      <c r="AA298" s="2"/>
      <c r="AB298" s="40"/>
    </row>
    <row r="299" spans="2:28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  <c r="U299" s="2"/>
      <c r="V299" s="2"/>
      <c r="W299" s="2"/>
      <c r="X299" s="2"/>
      <c r="Y299" s="2"/>
      <c r="Z299" s="2"/>
      <c r="AA299" s="2"/>
      <c r="AB299" s="40"/>
    </row>
    <row r="300" spans="2:28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  <c r="U300" s="2"/>
      <c r="V300" s="2"/>
      <c r="W300" s="2"/>
      <c r="X300" s="2"/>
      <c r="Y300" s="2"/>
      <c r="Z300" s="2"/>
      <c r="AA300" s="2"/>
      <c r="AB300" s="40"/>
    </row>
    <row r="301" spans="2:28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  <c r="U301" s="2"/>
      <c r="V301" s="2"/>
      <c r="W301" s="2"/>
      <c r="X301" s="2"/>
      <c r="Y301" s="2"/>
      <c r="Z301" s="2"/>
      <c r="AA301" s="2"/>
      <c r="AB301" s="40"/>
    </row>
    <row r="302" spans="2:28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  <c r="U302" s="2"/>
      <c r="V302" s="2"/>
      <c r="W302" s="2"/>
      <c r="X302" s="2"/>
      <c r="Y302" s="2"/>
      <c r="Z302" s="2"/>
      <c r="AA302" s="2"/>
      <c r="AB302" s="41"/>
    </row>
    <row r="303" spans="2:28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  <c r="U303" s="2"/>
      <c r="V303" s="2"/>
      <c r="W303" s="2"/>
      <c r="X303" s="2"/>
      <c r="Y303" s="2"/>
      <c r="Z303" s="2"/>
      <c r="AA303" s="2"/>
      <c r="AB303" s="40"/>
    </row>
    <row r="304" spans="2:28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  <c r="U304" s="2"/>
      <c r="V304" s="2"/>
      <c r="W304" s="2"/>
      <c r="X304" s="2"/>
      <c r="Y304" s="2"/>
      <c r="Z304" s="2"/>
      <c r="AA304" s="2"/>
      <c r="AB304" s="41"/>
    </row>
    <row r="305" spans="2:28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  <c r="U305" s="2"/>
      <c r="V305" s="2"/>
      <c r="W305" s="2"/>
      <c r="X305" s="2"/>
      <c r="Y305" s="2"/>
      <c r="Z305" s="2"/>
      <c r="AA305" s="2"/>
      <c r="AB305" s="40"/>
    </row>
    <row r="306" spans="2:28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  <c r="U306" s="2"/>
      <c r="V306" s="2"/>
      <c r="W306" s="2"/>
      <c r="X306" s="2"/>
      <c r="Y306" s="2"/>
      <c r="Z306" s="2"/>
      <c r="AA306" s="2"/>
      <c r="AB306" s="40"/>
    </row>
    <row r="307" spans="2:28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  <c r="U307" s="2"/>
      <c r="V307" s="2"/>
      <c r="W307" s="2"/>
      <c r="X307" s="2"/>
      <c r="Y307" s="2"/>
      <c r="Z307" s="2"/>
      <c r="AA307" s="2"/>
      <c r="AB307" s="40"/>
    </row>
    <row r="308" spans="2:28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  <c r="U308" s="2"/>
      <c r="V308" s="2"/>
      <c r="W308" s="2"/>
      <c r="X308" s="2"/>
      <c r="Y308" s="2"/>
      <c r="Z308" s="2"/>
      <c r="AA308" s="2"/>
      <c r="AB308" s="40"/>
    </row>
    <row r="309" spans="2:28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  <c r="U309" s="2"/>
      <c r="V309" s="2"/>
      <c r="W309" s="2"/>
      <c r="X309" s="2"/>
      <c r="Y309" s="2"/>
      <c r="Z309" s="2"/>
      <c r="AA309" s="2"/>
      <c r="AB309" s="41"/>
    </row>
    <row r="310" spans="2:28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  <c r="U310" s="2"/>
      <c r="V310" s="2"/>
      <c r="W310" s="2"/>
      <c r="X310" s="2"/>
      <c r="Y310" s="2"/>
      <c r="Z310" s="2"/>
      <c r="AA310" s="2"/>
      <c r="AB310" s="40"/>
    </row>
    <row r="311" spans="2:28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  <c r="U311" s="2"/>
      <c r="V311" s="2"/>
      <c r="W311" s="2"/>
      <c r="X311" s="2"/>
      <c r="Y311" s="2"/>
      <c r="Z311" s="2"/>
      <c r="AA311" s="2"/>
      <c r="AB311" s="40"/>
    </row>
    <row r="312" spans="2:28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  <c r="U312" s="2"/>
      <c r="V312" s="2"/>
      <c r="W312" s="2"/>
      <c r="X312" s="2"/>
      <c r="Y312" s="2"/>
      <c r="Z312" s="2"/>
      <c r="AA312" s="2"/>
      <c r="AB312" s="40"/>
    </row>
    <row r="313" spans="2:28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  <c r="U313" s="2"/>
      <c r="V313" s="2"/>
      <c r="W313" s="2"/>
      <c r="X313" s="2"/>
      <c r="Y313" s="2"/>
      <c r="Z313" s="2"/>
      <c r="AA313" s="2"/>
      <c r="AB313" s="41"/>
    </row>
    <row r="314" spans="2:28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  <c r="U314" s="2"/>
      <c r="V314" s="2"/>
      <c r="W314" s="2"/>
      <c r="X314" s="2"/>
      <c r="Y314" s="2"/>
      <c r="Z314" s="2"/>
      <c r="AA314" s="2"/>
      <c r="AB314" s="40"/>
    </row>
    <row r="315" spans="2:28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  <c r="U315" s="2"/>
      <c r="V315" s="2"/>
      <c r="W315" s="2"/>
      <c r="X315" s="2"/>
      <c r="Y315" s="2"/>
      <c r="Z315" s="2"/>
      <c r="AA315" s="2"/>
      <c r="AB315" s="41"/>
    </row>
    <row r="316" spans="2:28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  <c r="U316" s="2"/>
      <c r="V316" s="2"/>
      <c r="W316" s="2"/>
      <c r="X316" s="2"/>
      <c r="Y316" s="2"/>
      <c r="Z316" s="2"/>
      <c r="AA316" s="2"/>
      <c r="AB316" s="41"/>
    </row>
    <row r="317" spans="2:28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  <c r="U317" s="2"/>
      <c r="V317" s="2"/>
      <c r="W317" s="2"/>
      <c r="X317" s="2"/>
      <c r="Y317" s="2"/>
      <c r="Z317" s="2"/>
      <c r="AA317" s="2"/>
      <c r="AB317" s="41"/>
    </row>
    <row r="318" spans="2:28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  <c r="U318" s="2"/>
      <c r="V318" s="2"/>
      <c r="W318" s="2"/>
      <c r="X318" s="2"/>
      <c r="Y318" s="2"/>
      <c r="Z318" s="2"/>
      <c r="AA318" s="2"/>
      <c r="AB318" s="41"/>
    </row>
    <row r="319" spans="2:28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  <c r="U319" s="2"/>
      <c r="V319" s="2"/>
      <c r="W319" s="2"/>
      <c r="X319" s="2"/>
      <c r="Y319" s="2"/>
      <c r="Z319" s="2"/>
      <c r="AA319" s="2"/>
      <c r="AB319" s="40"/>
    </row>
    <row r="320" spans="2:28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  <c r="U320" s="2"/>
      <c r="V320" s="2"/>
      <c r="W320" s="2"/>
      <c r="X320" s="2"/>
      <c r="Y320" s="2"/>
      <c r="Z320" s="2"/>
      <c r="AA320" s="2"/>
      <c r="AB320" s="41"/>
    </row>
    <row r="321" spans="2:28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  <c r="U321" s="2"/>
      <c r="V321" s="2"/>
      <c r="W321" s="2"/>
      <c r="X321" s="2"/>
      <c r="Y321" s="2"/>
      <c r="Z321" s="2"/>
      <c r="AA321" s="2"/>
      <c r="AB321" s="40"/>
    </row>
    <row r="322" spans="2:28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  <c r="U322" s="2"/>
      <c r="V322" s="2"/>
      <c r="W322" s="2"/>
      <c r="X322" s="2"/>
      <c r="Y322" s="2"/>
      <c r="Z322" s="2"/>
      <c r="AA322" s="2"/>
      <c r="AB322" s="41"/>
    </row>
    <row r="323" spans="2:28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  <c r="U323" s="2"/>
      <c r="V323" s="2"/>
      <c r="W323" s="2"/>
      <c r="X323" s="2"/>
      <c r="Y323" s="2"/>
      <c r="Z323" s="2"/>
      <c r="AA323" s="2"/>
      <c r="AB323" s="40"/>
    </row>
    <row r="324" spans="2:28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  <c r="U324" s="2"/>
      <c r="V324" s="2"/>
      <c r="W324" s="2"/>
      <c r="X324" s="2"/>
      <c r="Y324" s="2"/>
      <c r="Z324" s="2"/>
      <c r="AA324" s="2"/>
      <c r="AB324" s="40"/>
    </row>
    <row r="325" spans="2:28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  <c r="U325" s="2"/>
      <c r="V325" s="2"/>
      <c r="W325" s="2"/>
      <c r="X325" s="2"/>
      <c r="Y325" s="2"/>
      <c r="Z325" s="2"/>
      <c r="AA325" s="2"/>
      <c r="AB325" s="40"/>
    </row>
    <row r="326" spans="2:28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  <c r="U326" s="2"/>
      <c r="V326" s="2"/>
      <c r="W326" s="2"/>
      <c r="X326" s="2"/>
      <c r="Y326" s="2"/>
      <c r="Z326" s="2"/>
      <c r="AA326" s="2"/>
      <c r="AB326" s="40"/>
    </row>
    <row r="327" spans="2:28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  <c r="U327" s="2"/>
      <c r="V327" s="2"/>
      <c r="W327" s="2"/>
      <c r="X327" s="2"/>
      <c r="Y327" s="2"/>
      <c r="Z327" s="2"/>
      <c r="AA327" s="2"/>
      <c r="AB327" s="41"/>
    </row>
    <row r="328" spans="2:28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  <c r="U328" s="2"/>
      <c r="V328" s="2"/>
      <c r="W328" s="2"/>
      <c r="X328" s="2"/>
      <c r="Y328" s="2"/>
      <c r="Z328" s="2"/>
      <c r="AA328" s="2"/>
      <c r="AB328" s="41"/>
    </row>
    <row r="329" spans="2:28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  <c r="U329" s="2"/>
      <c r="V329" s="2"/>
      <c r="W329" s="2"/>
      <c r="X329" s="2"/>
      <c r="Y329" s="2"/>
      <c r="Z329" s="2"/>
      <c r="AA329" s="2"/>
      <c r="AB329" s="40"/>
    </row>
    <row r="330" spans="2:28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  <c r="U330" s="2"/>
      <c r="V330" s="2"/>
      <c r="W330" s="2"/>
      <c r="X330" s="2"/>
      <c r="Y330" s="2"/>
      <c r="Z330" s="2"/>
      <c r="AA330" s="2"/>
      <c r="AB330" s="40"/>
    </row>
    <row r="331" spans="2:28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  <c r="U331" s="2"/>
      <c r="V331" s="2"/>
      <c r="W331" s="2"/>
      <c r="X331" s="2"/>
      <c r="Y331" s="2"/>
      <c r="Z331" s="2"/>
      <c r="AA331" s="2"/>
      <c r="AB331" s="40"/>
    </row>
    <row r="332" spans="2:28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  <c r="U332" s="2"/>
      <c r="V332" s="2"/>
      <c r="W332" s="2"/>
      <c r="X332" s="2"/>
      <c r="Y332" s="2"/>
      <c r="Z332" s="2"/>
      <c r="AA332" s="2"/>
      <c r="AB332" s="40"/>
    </row>
    <row r="333" spans="2:28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  <c r="U333" s="2"/>
      <c r="V333" s="2"/>
      <c r="W333" s="2"/>
      <c r="X333" s="2"/>
      <c r="Y333" s="2"/>
      <c r="Z333" s="2"/>
      <c r="AA333" s="2"/>
      <c r="AB333" s="40"/>
    </row>
    <row r="334" spans="2:28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  <c r="U334" s="2"/>
      <c r="V334" s="2"/>
      <c r="W334" s="2"/>
      <c r="X334" s="2"/>
      <c r="Y334" s="2"/>
      <c r="Z334" s="2"/>
      <c r="AA334" s="2"/>
      <c r="AB334" s="40"/>
    </row>
    <row r="335" spans="2:28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  <c r="U335" s="2"/>
      <c r="V335" s="2"/>
      <c r="W335" s="2"/>
      <c r="X335" s="2"/>
      <c r="Y335" s="2"/>
      <c r="Z335" s="2"/>
      <c r="AA335" s="2"/>
      <c r="AB335" s="40"/>
    </row>
    <row r="336" spans="2:28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  <c r="U336" s="2"/>
      <c r="V336" s="2"/>
      <c r="W336" s="2"/>
      <c r="X336" s="2"/>
      <c r="Y336" s="2"/>
      <c r="Z336" s="2"/>
      <c r="AA336" s="2"/>
      <c r="AB336" s="40"/>
    </row>
    <row r="337" spans="2:28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  <c r="U337" s="2"/>
      <c r="V337" s="2"/>
      <c r="W337" s="2"/>
      <c r="X337" s="2"/>
      <c r="Y337" s="2"/>
      <c r="Z337" s="2"/>
      <c r="AA337" s="2"/>
      <c r="AB337" s="40"/>
    </row>
    <row r="338" spans="2:28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  <c r="U338" s="2"/>
      <c r="V338" s="2"/>
      <c r="W338" s="2"/>
      <c r="X338" s="2"/>
      <c r="Y338" s="2"/>
      <c r="Z338" s="2"/>
      <c r="AA338" s="2"/>
      <c r="AB338" s="41"/>
    </row>
    <row r="339" spans="2:28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  <c r="U339" s="2"/>
      <c r="V339" s="2"/>
      <c r="W339" s="2"/>
      <c r="X339" s="2"/>
      <c r="Y339" s="2"/>
      <c r="Z339" s="2"/>
      <c r="AA339" s="2"/>
      <c r="AB339" s="40"/>
    </row>
    <row r="340" spans="2:28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  <c r="U340" s="2"/>
      <c r="V340" s="2"/>
      <c r="W340" s="2"/>
      <c r="X340" s="2"/>
      <c r="Y340" s="2"/>
      <c r="Z340" s="2"/>
      <c r="AA340" s="2"/>
      <c r="AB340" s="40"/>
    </row>
    <row r="341" spans="2:28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  <c r="U341" s="2"/>
      <c r="V341" s="2"/>
      <c r="W341" s="2"/>
      <c r="X341" s="2"/>
      <c r="Y341" s="2"/>
      <c r="Z341" s="2"/>
      <c r="AA341" s="2"/>
      <c r="AB341" s="40"/>
    </row>
    <row r="342" spans="2:28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  <c r="U342" s="2"/>
      <c r="V342" s="2"/>
      <c r="W342" s="2"/>
      <c r="X342" s="2"/>
      <c r="Y342" s="2"/>
      <c r="Z342" s="2"/>
      <c r="AA342" s="2"/>
      <c r="AB342" s="41"/>
    </row>
    <row r="343" spans="2:28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  <c r="U343" s="2"/>
      <c r="V343" s="2"/>
      <c r="W343" s="2"/>
      <c r="X343" s="2"/>
      <c r="Y343" s="2"/>
      <c r="Z343" s="2"/>
      <c r="AA343" s="2"/>
      <c r="AB343" s="41"/>
    </row>
    <row r="344" spans="2:28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  <c r="U344" s="2"/>
      <c r="V344" s="2"/>
      <c r="W344" s="2"/>
      <c r="X344" s="2"/>
      <c r="Y344" s="2"/>
      <c r="Z344" s="2"/>
      <c r="AA344" s="2"/>
      <c r="AB344" s="40"/>
    </row>
    <row r="345" spans="2:28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  <c r="U345" s="2"/>
      <c r="V345" s="2"/>
      <c r="W345" s="2"/>
      <c r="X345" s="2"/>
      <c r="Y345" s="2"/>
      <c r="Z345" s="2"/>
      <c r="AA345" s="2"/>
      <c r="AB345" s="40"/>
    </row>
    <row r="346" spans="2:28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  <c r="U346" s="2"/>
      <c r="V346" s="2"/>
      <c r="W346" s="2"/>
      <c r="X346" s="2"/>
      <c r="Y346" s="2"/>
      <c r="Z346" s="2"/>
      <c r="AA346" s="2"/>
      <c r="AB346" s="40"/>
    </row>
    <row r="347" spans="2:28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  <c r="U347" s="2"/>
      <c r="V347" s="2"/>
      <c r="W347" s="2"/>
      <c r="X347" s="2"/>
      <c r="Y347" s="2"/>
      <c r="Z347" s="2"/>
      <c r="AA347" s="2"/>
      <c r="AB347" s="40"/>
    </row>
    <row r="348" spans="2:28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  <c r="U348" s="2"/>
      <c r="V348" s="2"/>
      <c r="W348" s="2"/>
      <c r="X348" s="2"/>
      <c r="Y348" s="2"/>
      <c r="Z348" s="2"/>
      <c r="AA348" s="2"/>
      <c r="AB348" s="40"/>
    </row>
    <row r="349" spans="2:28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  <c r="U349" s="2"/>
      <c r="V349" s="2"/>
      <c r="W349" s="2"/>
      <c r="X349" s="2"/>
      <c r="Y349" s="2"/>
      <c r="Z349" s="2"/>
      <c r="AA349" s="2"/>
      <c r="AB349" s="41"/>
    </row>
    <row r="350" spans="2:28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  <c r="U350" s="2"/>
      <c r="V350" s="2"/>
      <c r="W350" s="2"/>
      <c r="X350" s="2"/>
      <c r="Y350" s="2"/>
      <c r="Z350" s="2"/>
      <c r="AA350" s="2"/>
      <c r="AB350" s="40"/>
    </row>
    <row r="351" spans="2:28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  <c r="U351" s="2"/>
      <c r="V351" s="2"/>
      <c r="W351" s="2"/>
      <c r="X351" s="2"/>
      <c r="Y351" s="2"/>
      <c r="Z351" s="2"/>
      <c r="AA351" s="2"/>
      <c r="AB351" s="40"/>
    </row>
    <row r="352" spans="2:28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  <c r="U352" s="2"/>
      <c r="V352" s="2"/>
      <c r="W352" s="2"/>
      <c r="X352" s="2"/>
      <c r="Y352" s="2"/>
      <c r="Z352" s="2"/>
      <c r="AA352" s="2"/>
      <c r="AB352" s="40"/>
    </row>
    <row r="353" spans="2:28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  <c r="U353" s="2"/>
      <c r="V353" s="2"/>
      <c r="W353" s="2"/>
      <c r="X353" s="2"/>
      <c r="Y353" s="2"/>
      <c r="Z353" s="2"/>
      <c r="AA353" s="2"/>
      <c r="AB353" s="40"/>
    </row>
    <row r="354" spans="2:28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  <c r="U354" s="2"/>
      <c r="V354" s="2"/>
      <c r="W354" s="2"/>
      <c r="X354" s="2"/>
      <c r="Y354" s="2"/>
      <c r="Z354" s="2"/>
      <c r="AA354" s="2"/>
      <c r="AB354" s="40"/>
    </row>
    <row r="355" spans="2:28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  <c r="U355" s="2"/>
      <c r="V355" s="2"/>
      <c r="W355" s="2"/>
      <c r="X355" s="2"/>
      <c r="Y355" s="2"/>
      <c r="Z355" s="2"/>
      <c r="AA355" s="2"/>
      <c r="AB355" s="41"/>
    </row>
    <row r="356" spans="2:28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  <c r="U356" s="2"/>
      <c r="V356" s="2"/>
      <c r="W356" s="2"/>
      <c r="X356" s="2"/>
      <c r="Y356" s="2"/>
      <c r="Z356" s="2"/>
      <c r="AA356" s="2"/>
      <c r="AB356" s="40"/>
    </row>
    <row r="357" spans="2:28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  <c r="U357" s="2"/>
      <c r="V357" s="2"/>
      <c r="W357" s="2"/>
      <c r="X357" s="2"/>
      <c r="Y357" s="2"/>
      <c r="Z357" s="2"/>
      <c r="AA357" s="2"/>
      <c r="AB357" s="40"/>
    </row>
    <row r="358" spans="2:28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  <c r="U358" s="2"/>
      <c r="V358" s="2"/>
      <c r="W358" s="2"/>
      <c r="X358" s="2"/>
      <c r="Y358" s="2"/>
      <c r="Z358" s="2"/>
      <c r="AA358" s="2"/>
      <c r="AB358" s="40"/>
    </row>
    <row r="359" spans="2:28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  <c r="U359" s="2"/>
      <c r="V359" s="2"/>
      <c r="W359" s="2"/>
      <c r="X359" s="2"/>
      <c r="Y359" s="2"/>
      <c r="Z359" s="2"/>
      <c r="AA359" s="2"/>
      <c r="AB359" s="40"/>
    </row>
    <row r="360" spans="2:28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  <c r="U360" s="2"/>
      <c r="V360" s="2"/>
      <c r="W360" s="2"/>
      <c r="X360" s="2"/>
      <c r="Y360" s="2"/>
      <c r="Z360" s="2"/>
      <c r="AA360" s="2"/>
      <c r="AB360" s="40"/>
    </row>
    <row r="361" spans="2:28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  <c r="U361" s="2"/>
      <c r="V361" s="2"/>
      <c r="W361" s="2"/>
      <c r="X361" s="2"/>
      <c r="Y361" s="2"/>
      <c r="Z361" s="2"/>
      <c r="AA361" s="2"/>
      <c r="AB361" s="41"/>
    </row>
    <row r="362" spans="2:28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  <c r="U362" s="2"/>
      <c r="V362" s="2"/>
      <c r="W362" s="2"/>
      <c r="X362" s="2"/>
      <c r="Y362" s="2"/>
      <c r="Z362" s="2"/>
      <c r="AA362" s="2"/>
      <c r="AB362" s="41"/>
    </row>
    <row r="363" spans="2:28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  <c r="U363" s="2"/>
      <c r="V363" s="2"/>
      <c r="W363" s="2"/>
      <c r="X363" s="2"/>
      <c r="Y363" s="2"/>
      <c r="Z363" s="2"/>
      <c r="AA363" s="2"/>
      <c r="AB363" s="40"/>
    </row>
    <row r="364" spans="2:28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  <c r="U364" s="2"/>
      <c r="V364" s="2"/>
      <c r="W364" s="2"/>
      <c r="X364" s="2"/>
      <c r="Y364" s="2"/>
      <c r="Z364" s="2"/>
      <c r="AA364" s="2"/>
      <c r="AB364" s="40"/>
    </row>
    <row r="365" spans="2:28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  <c r="U365" s="2"/>
      <c r="V365" s="2"/>
      <c r="W365" s="2"/>
      <c r="X365" s="2"/>
      <c r="Y365" s="2"/>
      <c r="Z365" s="2"/>
      <c r="AA365" s="2"/>
      <c r="AB365" s="40"/>
    </row>
    <row r="366" spans="2:28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  <c r="U366" s="2"/>
      <c r="V366" s="2"/>
      <c r="W366" s="2"/>
      <c r="X366" s="2"/>
      <c r="Y366" s="2"/>
      <c r="Z366" s="2"/>
      <c r="AA366" s="2"/>
      <c r="AB366" s="40"/>
    </row>
    <row r="367" spans="2:28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  <c r="U367" s="2"/>
      <c r="V367" s="2"/>
      <c r="W367" s="2"/>
      <c r="X367" s="2"/>
      <c r="Y367" s="2"/>
      <c r="Z367" s="2"/>
      <c r="AA367" s="2"/>
      <c r="AB367" s="41"/>
    </row>
    <row r="368" spans="2:28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  <c r="U368" s="2"/>
      <c r="V368" s="2"/>
      <c r="W368" s="2"/>
      <c r="X368" s="2"/>
      <c r="Y368" s="2"/>
      <c r="Z368" s="2"/>
      <c r="AA368" s="2"/>
      <c r="AB368" s="40"/>
    </row>
    <row r="369" spans="2:28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  <c r="U369" s="2"/>
      <c r="V369" s="2"/>
      <c r="W369" s="2"/>
      <c r="X369" s="2"/>
      <c r="Y369" s="2"/>
      <c r="Z369" s="2"/>
      <c r="AA369" s="2"/>
      <c r="AB369" s="40"/>
    </row>
    <row r="370" spans="2:28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  <c r="U370" s="2"/>
      <c r="V370" s="2"/>
      <c r="W370" s="2"/>
      <c r="X370" s="2"/>
      <c r="Y370" s="2"/>
      <c r="Z370" s="2"/>
      <c r="AA370" s="2"/>
      <c r="AB370" s="40"/>
    </row>
    <row r="371" spans="2:28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  <c r="U371" s="2"/>
      <c r="V371" s="2"/>
      <c r="W371" s="2"/>
      <c r="X371" s="2"/>
      <c r="Y371" s="2"/>
      <c r="Z371" s="2"/>
      <c r="AA371" s="2"/>
      <c r="AB371" s="41"/>
    </row>
    <row r="372" spans="2:28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  <c r="U372" s="2"/>
      <c r="V372" s="2"/>
      <c r="W372" s="2"/>
      <c r="X372" s="2"/>
      <c r="Y372" s="2"/>
      <c r="Z372" s="2"/>
      <c r="AA372" s="2"/>
      <c r="AB372" s="41"/>
    </row>
    <row r="373" spans="2:28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  <c r="U373" s="2"/>
      <c r="V373" s="2"/>
      <c r="W373" s="2"/>
      <c r="X373" s="2"/>
      <c r="Y373" s="2"/>
      <c r="Z373" s="2"/>
      <c r="AA373" s="2"/>
      <c r="AB373" s="40"/>
    </row>
    <row r="374" spans="2:28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  <c r="U374" s="2"/>
      <c r="V374" s="2"/>
      <c r="W374" s="2"/>
      <c r="X374" s="2"/>
      <c r="Y374" s="2"/>
      <c r="Z374" s="2"/>
      <c r="AA374" s="2"/>
      <c r="AB374" s="40"/>
    </row>
    <row r="375" spans="2:28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  <c r="U375" s="2"/>
      <c r="V375" s="2"/>
      <c r="W375" s="2"/>
      <c r="X375" s="2"/>
      <c r="Y375" s="2"/>
      <c r="Z375" s="2"/>
      <c r="AA375" s="2"/>
      <c r="AB375" s="40"/>
    </row>
    <row r="376" spans="2:28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  <c r="U376" s="2"/>
      <c r="V376" s="2"/>
      <c r="W376" s="2"/>
      <c r="X376" s="2"/>
      <c r="Y376" s="2"/>
      <c r="Z376" s="2"/>
      <c r="AA376" s="2"/>
      <c r="AB376" s="41"/>
    </row>
    <row r="377" spans="2:28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  <c r="U377" s="2"/>
      <c r="V377" s="2"/>
      <c r="W377" s="2"/>
      <c r="X377" s="2"/>
      <c r="Y377" s="2"/>
      <c r="Z377" s="2"/>
      <c r="AA377" s="2"/>
      <c r="AB377" s="40"/>
    </row>
    <row r="378" spans="2:28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  <c r="U378" s="2"/>
      <c r="V378" s="2"/>
      <c r="W378" s="2"/>
      <c r="X378" s="2"/>
      <c r="Y378" s="2"/>
      <c r="Z378" s="2"/>
      <c r="AA378" s="2"/>
      <c r="AB378" s="40"/>
    </row>
    <row r="379" spans="2:28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  <c r="U379" s="2"/>
      <c r="V379" s="2"/>
      <c r="W379" s="2"/>
      <c r="X379" s="2"/>
      <c r="Y379" s="2"/>
      <c r="Z379" s="2"/>
      <c r="AA379" s="2"/>
      <c r="AB379" s="41"/>
    </row>
    <row r="380" spans="2:28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  <c r="U380" s="2"/>
      <c r="V380" s="2"/>
      <c r="W380" s="2"/>
      <c r="X380" s="2"/>
      <c r="Y380" s="2"/>
      <c r="Z380" s="2"/>
      <c r="AA380" s="2"/>
      <c r="AB380" s="41"/>
    </row>
    <row r="381" spans="2:28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  <c r="U381" s="2"/>
      <c r="V381" s="2"/>
      <c r="W381" s="2"/>
      <c r="X381" s="2"/>
      <c r="Y381" s="2"/>
      <c r="Z381" s="2"/>
      <c r="AA381" s="2"/>
      <c r="AB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0</xdr:row>
                    <xdr:rowOff>158750</xdr:rowOff>
                  </from>
                  <to>
                    <xdr:col>1</xdr:col>
                    <xdr:colOff>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44DB-06B5-471A-B0BA-CB0193462D93}">
  <sheetPr codeName="Sheet45">
    <tabColor rgb="FF00B0F0"/>
  </sheetPr>
  <dimension ref="A1:I24"/>
  <sheetViews>
    <sheetView workbookViewId="0">
      <pane ySplit="2" topLeftCell="A3" activePane="bottomLeft" state="frozen"/>
      <selection pane="bottomLeft" activeCell="B2" sqref="B2: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 t="str">
        <f>IFERROR(_xlfn.XLOOKUP(A2,'QA WK4'!A:A,'QA WK4'!I:I),"")</f>
        <v/>
      </c>
      <c r="C2" s="94" t="str">
        <f>IFERROR(_xlfn.XLOOKUP(A2,'ME0025 WK4'!A:A,'ME0025 WK4'!J:J),"")</f>
        <v/>
      </c>
      <c r="D2" s="120" t="str">
        <f>IFERROR(C2/$C$23,"")</f>
        <v/>
      </c>
      <c r="E2" s="116" t="str">
        <f>IFERROR(_xlfn.XLOOKUP(A2,'ME0025 WK4'!A:A,'ME0025 WK4'!F:F),"")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Beatriz Alvarado</v>
      </c>
      <c r="B3" s="115" t="str">
        <f>IFERROR(_xlfn.XLOOKUP(A3,'QA WK4'!A:A,'QA WK4'!I:I),"")</f>
        <v/>
      </c>
      <c r="C3" s="94" t="str">
        <f>IFERROR(_xlfn.XLOOKUP(A3,'ME0025 WK4'!A:A,'ME0025 WK4'!J:J),"")</f>
        <v/>
      </c>
      <c r="D3" s="120" t="str">
        <f t="shared" ref="D3:D22" si="1">IFERROR(C3/$C$23,"")</f>
        <v/>
      </c>
      <c r="E3" s="116" t="str">
        <f>IFERROR(_xlfn.XLOOKUP(A3,'ME0025 WK4'!A:A,'ME0025 WK4'!F:F),"")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Rachel Garcia</v>
      </c>
      <c r="B4" s="115" t="str">
        <f>IFERROR(_xlfn.XLOOKUP(A4,'QA WK4'!A:A,'QA WK4'!I:I),"")</f>
        <v/>
      </c>
      <c r="C4" s="94" t="str">
        <f>IFERROR(_xlfn.XLOOKUP(A4,'ME0025 WK4'!A:A,'ME0025 WK4'!J:J),"")</f>
        <v/>
      </c>
      <c r="D4" s="120" t="str">
        <f t="shared" si="1"/>
        <v/>
      </c>
      <c r="E4" s="116" t="str">
        <f>IFERROR(_xlfn.XLOOKUP(A4,'ME0025 WK4'!A:A,'ME0025 WK4'!F:F),"")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Samantha Walker</v>
      </c>
      <c r="B5" s="115" t="str">
        <f>IFERROR(_xlfn.XLOOKUP(A5,'QA WK4'!A:A,'QA WK4'!I:I),"")</f>
        <v/>
      </c>
      <c r="C5" s="94" t="str">
        <f>IFERROR(_xlfn.XLOOKUP(A5,'ME0025 WK4'!A:A,'ME0025 WK4'!J:J),"")</f>
        <v/>
      </c>
      <c r="D5" s="120" t="str">
        <f t="shared" si="1"/>
        <v/>
      </c>
      <c r="E5" s="116" t="str">
        <f>IFERROR(_xlfn.XLOOKUP(A5,'ME0025 WK4'!A:A,'ME0025 WK4'!F:F),"")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Lauren Morgan</v>
      </c>
      <c r="B6" s="115" t="str">
        <f>IFERROR(_xlfn.XLOOKUP(A6,'QA WK4'!A:A,'QA WK4'!I:I),"")</f>
        <v/>
      </c>
      <c r="C6" s="94" t="str">
        <f>IFERROR(_xlfn.XLOOKUP(A6,'ME0025 WK4'!A:A,'ME0025 WK4'!J:J),"")</f>
        <v/>
      </c>
      <c r="D6" s="120" t="str">
        <f t="shared" si="1"/>
        <v/>
      </c>
      <c r="E6" s="116" t="str">
        <f>IFERROR(_xlfn.XLOOKUP(A6,'ME0025 WK4'!A:A,'ME0025 WK4'!F:F),"")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Yazli Yerena</v>
      </c>
      <c r="B7" s="115" t="str">
        <f>IFERROR(_xlfn.XLOOKUP(A7,'QA WK4'!A:A,'QA WK4'!I:I),"")</f>
        <v/>
      </c>
      <c r="C7" s="94" t="str">
        <f>IFERROR(_xlfn.XLOOKUP(A7,'ME0025 WK4'!A:A,'ME0025 WK4'!J:J),"")</f>
        <v/>
      </c>
      <c r="D7" s="120" t="str">
        <f t="shared" si="1"/>
        <v/>
      </c>
      <c r="E7" s="116" t="str">
        <f>IFERROR(_xlfn.XLOOKUP(A7,'ME0025 WK4'!A:A,'ME0025 WK4'!F:F),"")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Erin Underwood</v>
      </c>
      <c r="B8" s="115" t="str">
        <f>IFERROR(_xlfn.XLOOKUP(A8,'QA WK4'!A:A,'QA WK4'!I:I),"")</f>
        <v/>
      </c>
      <c r="C8" s="94" t="str">
        <f>IFERROR(_xlfn.XLOOKUP(A8,'ME0025 WK4'!A:A,'ME0025 WK4'!J:J),"")</f>
        <v/>
      </c>
      <c r="D8" s="120" t="str">
        <f t="shared" si="1"/>
        <v/>
      </c>
      <c r="E8" s="116" t="str">
        <f>IFERROR(_xlfn.XLOOKUP(A8,'ME0025 WK4'!A:A,'ME0025 WK4'!F:F),"")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Yvonne Barbee</v>
      </c>
      <c r="B9" s="115" t="str">
        <f>IFERROR(_xlfn.XLOOKUP(A9,'QA WK4'!A:A,'QA WK4'!I:I),"")</f>
        <v/>
      </c>
      <c r="C9" s="94" t="str">
        <f>IFERROR(_xlfn.XLOOKUP(A9,'ME0025 WK4'!A:A,'ME0025 WK4'!J:J),"")</f>
        <v/>
      </c>
      <c r="D9" s="120" t="str">
        <f t="shared" si="1"/>
        <v/>
      </c>
      <c r="E9" s="116" t="str">
        <f>IFERROR(_xlfn.XLOOKUP(A9,'ME0025 WK4'!A:A,'ME0025 WK4'!F:F),"")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Heather Cash</v>
      </c>
      <c r="B10" s="115" t="str">
        <f>IFERROR(_xlfn.XLOOKUP(A10,'QA WK4'!A:A,'QA WK4'!I:I),"")</f>
        <v/>
      </c>
      <c r="C10" s="94" t="str">
        <f>IFERROR(_xlfn.XLOOKUP(A10,'ME0025 WK4'!A:A,'ME0025 WK4'!J:J),"")</f>
        <v/>
      </c>
      <c r="D10" s="120" t="str">
        <f t="shared" si="1"/>
        <v/>
      </c>
      <c r="E10" s="116" t="str">
        <f>IFERROR(_xlfn.XLOOKUP(A10,'ME0025 WK4'!A:A,'ME0025 WK4'!F:F),"")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Janice Winston</v>
      </c>
      <c r="B11" s="115" t="str">
        <f>IFERROR(_xlfn.XLOOKUP(A11,'QA WK4'!A:A,'QA WK4'!I:I),"")</f>
        <v/>
      </c>
      <c r="C11" s="94" t="str">
        <f>IFERROR(_xlfn.XLOOKUP(A11,'ME0025 WK4'!A:A,'ME0025 WK4'!J:J),"")</f>
        <v/>
      </c>
      <c r="D11" s="120" t="str">
        <f t="shared" si="1"/>
        <v/>
      </c>
      <c r="E11" s="116" t="str">
        <f>IFERROR(_xlfn.XLOOKUP(A11,'ME0025 WK4'!A:A,'ME0025 WK4'!F:F),"")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Antavian Taylor</v>
      </c>
      <c r="B12" s="115" t="str">
        <f>IFERROR(_xlfn.XLOOKUP(A12,'QA WK4'!A:A,'QA WK4'!I:I),"")</f>
        <v/>
      </c>
      <c r="C12" s="94" t="str">
        <f>IFERROR(_xlfn.XLOOKUP(A12,'ME0025 WK4'!A:A,'ME0025 WK4'!J:J),"")</f>
        <v/>
      </c>
      <c r="D12" s="120" t="str">
        <f t="shared" si="1"/>
        <v/>
      </c>
      <c r="E12" s="116" t="str">
        <f>IFERROR(_xlfn.XLOOKUP(A12,'ME0025 WK4'!A:A,'ME0025 WK4'!F:F),"")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Charlincia Montgomery</v>
      </c>
      <c r="B13" s="115" t="str">
        <f>IFERROR(_xlfn.XLOOKUP(A13,'QA WK4'!A:A,'QA WK4'!I:I),"")</f>
        <v/>
      </c>
      <c r="C13" s="94" t="str">
        <f>IFERROR(_xlfn.XLOOKUP(A13,'ME0025 WK4'!A:A,'ME0025 WK4'!J:J),"")</f>
        <v/>
      </c>
      <c r="D13" s="120" t="str">
        <f t="shared" si="1"/>
        <v/>
      </c>
      <c r="E13" s="116" t="str">
        <f>IFERROR(_xlfn.XLOOKUP(A13,'ME0025 WK4'!A:A,'ME0025 WK4'!F:F),"")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Kiarra Grandison</v>
      </c>
      <c r="B14" s="115" t="str">
        <f>IFERROR(_xlfn.XLOOKUP(A14,'QA WK4'!A:A,'QA WK4'!I:I),"")</f>
        <v/>
      </c>
      <c r="C14" s="94" t="str">
        <f>IFERROR(_xlfn.XLOOKUP(A14,'ME0025 WK4'!A:A,'ME0025 WK4'!J:J),"")</f>
        <v/>
      </c>
      <c r="D14" s="120" t="str">
        <f t="shared" si="1"/>
        <v/>
      </c>
      <c r="E14" s="116" t="str">
        <f>IFERROR(_xlfn.XLOOKUP(A14,'ME0025 WK4'!A:A,'ME0025 WK4'!F:F),"")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Keysanah Baldwin</v>
      </c>
      <c r="B15" s="115" t="str">
        <f>IFERROR(_xlfn.XLOOKUP(A15,'QA WK4'!A:A,'QA WK4'!I:I),"")</f>
        <v/>
      </c>
      <c r="C15" s="94" t="str">
        <f>IFERROR(_xlfn.XLOOKUP(A15,'ME0025 WK4'!A:A,'ME0025 WK4'!J:J),"")</f>
        <v/>
      </c>
      <c r="D15" s="120" t="str">
        <f t="shared" si="1"/>
        <v/>
      </c>
      <c r="E15" s="116" t="str">
        <f>IFERROR(_xlfn.XLOOKUP(A15,'ME0025 WK4'!A:A,'ME0025 WK4'!F:F),"")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WK4'!A:A,'QA WK4'!I:I),"")</f>
        <v/>
      </c>
      <c r="C16" s="94" t="str">
        <f>IFERROR(_xlfn.XLOOKUP(A16,'ME0025 WK4'!A:A,'ME0025 WK4'!J:J),"")</f>
        <v/>
      </c>
      <c r="D16" s="120" t="str">
        <f t="shared" si="1"/>
        <v/>
      </c>
      <c r="E16" s="116" t="str">
        <f>IFERROR(_xlfn.XLOOKUP(A16,'ME0025 WK4'!A:A,'ME0025 WK4'!F:F),"")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WK4'!A:A,'QA WK4'!I:I),"")</f>
        <v/>
      </c>
      <c r="C17" s="94" t="str">
        <f>IFERROR(_xlfn.XLOOKUP(A17,'ME0025 WK4'!A:A,'ME0025 WK4'!J:J),"")</f>
        <v/>
      </c>
      <c r="D17" s="120" t="str">
        <f t="shared" si="1"/>
        <v/>
      </c>
      <c r="E17" s="116" t="str">
        <f>IFERROR(_xlfn.XLOOKUP(A17,'ME0025 WK4'!A:A,'ME0025 WK4'!F:F),"")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WK4'!A:A,'QA WK4'!I:I),"")</f>
        <v/>
      </c>
      <c r="C18" s="94" t="str">
        <f>IFERROR(_xlfn.XLOOKUP(A18,'ME0025 WK4'!A:A,'ME0025 WK4'!J:J),"")</f>
        <v/>
      </c>
      <c r="D18" s="120" t="str">
        <f t="shared" si="1"/>
        <v/>
      </c>
      <c r="E18" s="116" t="str">
        <f>IFERROR(_xlfn.XLOOKUP(A18,'ME0025 WK4'!A:A,'ME0025 WK4'!F:F),"")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WK4'!A:A,'QA WK4'!I:I),"")</f>
        <v/>
      </c>
      <c r="C19" s="94" t="str">
        <f>IFERROR(_xlfn.XLOOKUP(A19,'ME0025 WK4'!A:A,'ME0025 WK4'!J:J),"")</f>
        <v/>
      </c>
      <c r="D19" s="120" t="str">
        <f t="shared" si="1"/>
        <v/>
      </c>
      <c r="E19" s="116" t="str">
        <f>IFERROR(_xlfn.XLOOKUP(A19,'ME0025 WK4'!A:A,'ME0025 WK4'!F:F),"")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WK4'!A:A,'QA WK4'!I:I),"")</f>
        <v/>
      </c>
      <c r="C20" s="94" t="str">
        <f>IFERROR(_xlfn.XLOOKUP(A20,'ME0025 WK4'!A:A,'ME0025 WK4'!J:J),"")</f>
        <v/>
      </c>
      <c r="D20" s="120" t="str">
        <f t="shared" si="1"/>
        <v/>
      </c>
      <c r="E20" s="116" t="str">
        <f>IFERROR(_xlfn.XLOOKUP(A20,'ME0025 WK4'!A:A,'ME0025 WK4'!F:F),"")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WK4'!A:A,'QA WK4'!I:I),"")</f>
        <v/>
      </c>
      <c r="C21" s="94" t="str">
        <f>IFERROR(_xlfn.XLOOKUP(A21,'ME0025 WK4'!A:A,'ME0025 WK4'!J:J),"")</f>
        <v/>
      </c>
      <c r="D21" s="120" t="str">
        <f t="shared" si="1"/>
        <v/>
      </c>
      <c r="E21" s="116" t="str">
        <f>IFERROR(_xlfn.XLOOKUP(A21,'ME0025 WK4'!A:A,'ME0025 WK4'!F:F),"")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WK4'!A:A,'QA WK4'!I:I),"")</f>
        <v/>
      </c>
      <c r="C22" s="94" t="str">
        <f>IFERROR(_xlfn.XLOOKUP(A22,'ME0025 WK4'!A:A,'ME0025 WK4'!J:J),"")</f>
        <v/>
      </c>
      <c r="D22" s="120" t="str">
        <f t="shared" si="1"/>
        <v/>
      </c>
      <c r="E22" s="116" t="str">
        <f>IFERROR(_xlfn.XLOOKUP(A22,'ME0025 WK4'!A:A,'ME0025 WK4'!F:F),"")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kwoGZmCGLLDn3yD4d0PvvdrBI47EPAasGI75gcthFoC3tiIOuRMc8pgd2t7e536AJ7KmVpkeyHTynXPtvNy3dA==" saltValue="DMqxsKn5ZX5oBfNYoe5ua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E85D7-0FDD-4AFB-BBDC-F538831B3787}">
  <sheetPr codeName="Sheet11">
    <tabColor rgb="FF00B0F0"/>
  </sheetPr>
  <dimension ref="A1:I30"/>
  <sheetViews>
    <sheetView workbookViewId="0">
      <selection activeCell="B4" sqref="B4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57" t="s">
        <v>54</v>
      </c>
      <c r="F1" s="158" t="s">
        <v>55</v>
      </c>
      <c r="G1" s="158" t="s">
        <v>56</v>
      </c>
      <c r="H1" s="158" t="s">
        <v>57</v>
      </c>
      <c r="I1" s="158" t="s">
        <v>58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4" name="Button 2">
              <controlPr defaultSize="0" print="0" autoFill="0" autoPict="0" macro="[0]!ClearQA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5113-B103-4160-BFDD-5829AEDE8576}">
  <sheetPr codeName="Sheet42">
    <tabColor rgb="FF00B0F0"/>
  </sheetPr>
  <dimension ref="A1:N381"/>
  <sheetViews>
    <sheetView workbookViewId="0">
      <selection activeCell="B9" sqref="B9:B10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16384" width="9.08984375" style="1"/>
  </cols>
  <sheetData>
    <row r="1" spans="1:14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59" t="s">
        <v>5</v>
      </c>
      <c r="G1" s="159" t="s">
        <v>6</v>
      </c>
      <c r="H1" s="159" t="s">
        <v>59</v>
      </c>
      <c r="I1" s="160" t="s">
        <v>7</v>
      </c>
      <c r="J1" s="161" t="s">
        <v>60</v>
      </c>
      <c r="K1" s="160" t="s">
        <v>8</v>
      </c>
      <c r="L1" s="159" t="s">
        <v>9</v>
      </c>
      <c r="M1" s="159" t="s">
        <v>61</v>
      </c>
      <c r="N1" s="159" t="s">
        <v>62</v>
      </c>
    </row>
    <row r="2" spans="1:14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</row>
    <row r="3" spans="1:14" ht="15" thickBot="1" x14ac:dyDescent="0.4">
      <c r="A3" s="33"/>
      <c r="B3" s="30"/>
      <c r="C3" s="10"/>
      <c r="D3" s="10"/>
      <c r="E3" s="5"/>
      <c r="F3" s="10"/>
      <c r="G3" s="5"/>
      <c r="H3" s="10"/>
      <c r="I3" s="5"/>
      <c r="J3" s="10"/>
      <c r="K3" s="10"/>
      <c r="L3" s="10"/>
      <c r="M3" s="10"/>
      <c r="N3" s="10"/>
    </row>
    <row r="4" spans="1:14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</row>
    <row r="5" spans="1:14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</row>
    <row r="6" spans="1:14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</row>
    <row r="7" spans="1:14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</row>
    <row r="8" spans="1:14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</row>
    <row r="9" spans="1:14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</row>
    <row r="10" spans="1:14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</row>
    <row r="11" spans="1:14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</row>
    <row r="12" spans="1:14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</row>
    <row r="13" spans="1:14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</row>
    <row r="14" spans="1:14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</row>
    <row r="15" spans="1:14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</row>
    <row r="16" spans="1:14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</row>
    <row r="17" spans="1:14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</row>
    <row r="18" spans="1:14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</row>
    <row r="19" spans="1:14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</row>
    <row r="20" spans="1:14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</row>
    <row r="21" spans="1:14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</row>
    <row r="22" spans="1:14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</row>
    <row r="23" spans="1:14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</row>
    <row r="24" spans="1:14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</row>
    <row r="25" spans="1:14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</row>
    <row r="26" spans="1:14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</row>
    <row r="27" spans="1:14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</row>
    <row r="28" spans="1:14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</row>
    <row r="29" spans="1:14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</row>
    <row r="30" spans="1:14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</row>
    <row r="31" spans="1:14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</row>
    <row r="32" spans="1:14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</row>
    <row r="33" spans="1:14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</row>
    <row r="34" spans="1:14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</row>
    <row r="35" spans="1:14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</row>
    <row r="36" spans="1:14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</row>
    <row r="37" spans="1:14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</row>
    <row r="38" spans="1:14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</row>
    <row r="39" spans="1:14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</row>
    <row r="40" spans="1:14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</row>
    <row r="41" spans="1:14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</row>
    <row r="42" spans="1:14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</row>
    <row r="43" spans="1:14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</row>
    <row r="44" spans="1:14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</row>
    <row r="45" spans="1:14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</row>
    <row r="46" spans="1:14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</row>
    <row r="47" spans="1:14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</row>
    <row r="48" spans="1:14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</row>
    <row r="49" spans="2:14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</row>
    <row r="50" spans="2:14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</row>
    <row r="51" spans="2:14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</row>
    <row r="52" spans="2:14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</row>
    <row r="53" spans="2:14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</row>
    <row r="54" spans="2:14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</row>
    <row r="55" spans="2:14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</row>
    <row r="56" spans="2:14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</row>
    <row r="57" spans="2:14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</row>
    <row r="58" spans="2:14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</row>
    <row r="59" spans="2:14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</row>
    <row r="60" spans="2:14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</row>
    <row r="61" spans="2:14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</row>
    <row r="62" spans="2:14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</row>
    <row r="63" spans="2:14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</row>
    <row r="64" spans="2:14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</row>
    <row r="65" spans="2:14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</row>
    <row r="66" spans="2:14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</row>
    <row r="67" spans="2:14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</row>
    <row r="68" spans="2:14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</row>
    <row r="69" spans="2:14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</row>
    <row r="70" spans="2:14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</row>
    <row r="71" spans="2:14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</row>
    <row r="72" spans="2:14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</row>
    <row r="73" spans="2:14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</row>
    <row r="74" spans="2:14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</row>
    <row r="75" spans="2:14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</row>
    <row r="76" spans="2:14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</row>
    <row r="77" spans="2:14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</row>
    <row r="78" spans="2:14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</row>
    <row r="79" spans="2:14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</row>
    <row r="80" spans="2:14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</row>
    <row r="81" spans="2:14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</row>
    <row r="82" spans="2:14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</row>
    <row r="83" spans="2:14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</row>
    <row r="84" spans="2:14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</row>
    <row r="85" spans="2:14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</row>
    <row r="86" spans="2:14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</row>
    <row r="87" spans="2:14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</row>
    <row r="88" spans="2:14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</row>
    <row r="89" spans="2:14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</row>
    <row r="90" spans="2:14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</row>
    <row r="91" spans="2:14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</row>
    <row r="92" spans="2:14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</row>
    <row r="93" spans="2:14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</row>
    <row r="94" spans="2:14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</row>
    <row r="95" spans="2:14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</row>
    <row r="96" spans="2:14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</row>
    <row r="97" spans="2:14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</row>
    <row r="98" spans="2:14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</row>
    <row r="99" spans="2:14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</row>
    <row r="100" spans="2:14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</row>
    <row r="101" spans="2:14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</row>
    <row r="102" spans="2:14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</row>
    <row r="103" spans="2:14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</row>
    <row r="104" spans="2:14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</row>
    <row r="105" spans="2:14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</row>
    <row r="106" spans="2:14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</row>
    <row r="107" spans="2:14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</row>
    <row r="108" spans="2:14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</row>
    <row r="109" spans="2:14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</row>
    <row r="110" spans="2:14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</row>
    <row r="111" spans="2:14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</row>
    <row r="112" spans="2:14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</row>
    <row r="113" spans="2:14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</row>
    <row r="114" spans="2:14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</row>
    <row r="115" spans="2:14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</row>
    <row r="116" spans="2:14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</row>
    <row r="117" spans="2:14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</row>
    <row r="118" spans="2:14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</row>
    <row r="119" spans="2:14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</row>
    <row r="120" spans="2:14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</row>
    <row r="121" spans="2:14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</row>
    <row r="122" spans="2:14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</row>
    <row r="123" spans="2:14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</row>
    <row r="124" spans="2:14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</row>
    <row r="125" spans="2:14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</row>
    <row r="126" spans="2:14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</row>
    <row r="127" spans="2:14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</row>
    <row r="128" spans="2:14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</row>
    <row r="129" spans="2:14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</row>
    <row r="130" spans="2:14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</row>
    <row r="131" spans="2:14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</row>
    <row r="132" spans="2:14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</row>
    <row r="133" spans="2:14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</row>
    <row r="134" spans="2:14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</row>
    <row r="135" spans="2:14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</row>
    <row r="136" spans="2:14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</row>
    <row r="137" spans="2:14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</row>
    <row r="138" spans="2:14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</row>
    <row r="139" spans="2:14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</row>
    <row r="140" spans="2:14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</row>
    <row r="141" spans="2:14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</row>
    <row r="142" spans="2:14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</row>
    <row r="143" spans="2:14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</row>
    <row r="144" spans="2:14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</row>
    <row r="145" spans="2:14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</row>
    <row r="146" spans="2:14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</row>
    <row r="147" spans="2:14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</row>
    <row r="148" spans="2:14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</row>
    <row r="149" spans="2:14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</row>
    <row r="150" spans="2:14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</row>
    <row r="151" spans="2:14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</row>
    <row r="152" spans="2:14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</row>
    <row r="153" spans="2:14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</row>
    <row r="154" spans="2:14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</row>
    <row r="155" spans="2:14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</row>
    <row r="156" spans="2:14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</row>
    <row r="157" spans="2:14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</row>
    <row r="158" spans="2:14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</row>
    <row r="159" spans="2:14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</row>
    <row r="160" spans="2:14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</row>
    <row r="161" spans="2:14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</row>
    <row r="162" spans="2:14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</row>
    <row r="163" spans="2:14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</row>
    <row r="164" spans="2:14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</row>
    <row r="165" spans="2:14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</row>
    <row r="166" spans="2:14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</row>
    <row r="167" spans="2:14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</row>
    <row r="168" spans="2:14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</row>
    <row r="169" spans="2:14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</row>
    <row r="170" spans="2:14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</row>
    <row r="171" spans="2:14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</row>
    <row r="172" spans="2:14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</row>
    <row r="173" spans="2:14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</row>
    <row r="174" spans="2:14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</row>
    <row r="175" spans="2:14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</row>
    <row r="176" spans="2:14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</row>
    <row r="177" spans="2:14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</row>
    <row r="178" spans="2:14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</row>
    <row r="179" spans="2:14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</row>
    <row r="180" spans="2:14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</row>
    <row r="181" spans="2:14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</row>
    <row r="182" spans="2:14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</row>
    <row r="183" spans="2:14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</row>
    <row r="184" spans="2:14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</row>
    <row r="185" spans="2:14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</row>
    <row r="186" spans="2:14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</row>
    <row r="187" spans="2:14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</row>
    <row r="188" spans="2:14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</row>
    <row r="189" spans="2:14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</row>
    <row r="190" spans="2:14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</row>
    <row r="191" spans="2:14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</row>
    <row r="192" spans="2:14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</row>
    <row r="193" spans="2:14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</row>
    <row r="194" spans="2:14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</row>
    <row r="195" spans="2:14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</row>
    <row r="196" spans="2:14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</row>
    <row r="197" spans="2:14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</row>
    <row r="198" spans="2:14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</row>
    <row r="199" spans="2:14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</row>
    <row r="200" spans="2:14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</row>
    <row r="201" spans="2:14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</row>
    <row r="202" spans="2:14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</row>
    <row r="203" spans="2:14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</row>
    <row r="204" spans="2:14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</row>
    <row r="205" spans="2:14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</row>
    <row r="206" spans="2:14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</row>
    <row r="207" spans="2:14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</row>
    <row r="208" spans="2:14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</row>
    <row r="209" spans="2:14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</row>
    <row r="210" spans="2:14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</row>
    <row r="211" spans="2:14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</row>
    <row r="212" spans="2:14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</row>
    <row r="213" spans="2:14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</row>
    <row r="214" spans="2:14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</row>
    <row r="215" spans="2:14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</row>
    <row r="216" spans="2:14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</row>
    <row r="217" spans="2:14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</row>
    <row r="218" spans="2:14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</row>
    <row r="219" spans="2:14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</row>
    <row r="220" spans="2:14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</row>
    <row r="221" spans="2:14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</row>
    <row r="222" spans="2:14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</row>
    <row r="223" spans="2:14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</row>
    <row r="224" spans="2:14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</row>
    <row r="225" spans="2:14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</row>
    <row r="226" spans="2:14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</row>
    <row r="227" spans="2:14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</row>
    <row r="228" spans="2:14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</row>
    <row r="229" spans="2:14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</row>
    <row r="230" spans="2:14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</row>
    <row r="231" spans="2:14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</row>
    <row r="232" spans="2:14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</row>
    <row r="233" spans="2:14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</row>
    <row r="234" spans="2:14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</row>
    <row r="235" spans="2:14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</row>
    <row r="236" spans="2:14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</row>
    <row r="237" spans="2:14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</row>
    <row r="238" spans="2:14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</row>
    <row r="239" spans="2:14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</row>
    <row r="240" spans="2:14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</row>
    <row r="241" spans="2:14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</row>
    <row r="242" spans="2:14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</row>
    <row r="243" spans="2:14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</row>
    <row r="244" spans="2:14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</row>
    <row r="245" spans="2:14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</row>
    <row r="246" spans="2:14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</row>
    <row r="247" spans="2:14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</row>
    <row r="248" spans="2:14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</row>
    <row r="249" spans="2:14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</row>
    <row r="250" spans="2:14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</row>
    <row r="251" spans="2:14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</row>
    <row r="252" spans="2:14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</row>
    <row r="253" spans="2:14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</row>
    <row r="254" spans="2:14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</row>
    <row r="255" spans="2:14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</row>
    <row r="256" spans="2:14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</row>
    <row r="257" spans="2:14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</row>
    <row r="258" spans="2:14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</row>
    <row r="259" spans="2:14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</row>
    <row r="260" spans="2:14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</row>
    <row r="261" spans="2:14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</row>
    <row r="262" spans="2:14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</row>
    <row r="263" spans="2:14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</row>
    <row r="264" spans="2:14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</row>
    <row r="265" spans="2:14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</row>
    <row r="266" spans="2:14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</row>
    <row r="267" spans="2:14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</row>
    <row r="268" spans="2:14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</row>
    <row r="269" spans="2:14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</row>
    <row r="270" spans="2:14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</row>
    <row r="271" spans="2:14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</row>
    <row r="272" spans="2:14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</row>
    <row r="273" spans="2:14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</row>
    <row r="274" spans="2:14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</row>
    <row r="275" spans="2:14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</row>
    <row r="276" spans="2:14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</row>
    <row r="277" spans="2:14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</row>
    <row r="278" spans="2:14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</row>
    <row r="279" spans="2:14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</row>
    <row r="280" spans="2:14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</row>
    <row r="281" spans="2:14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</row>
    <row r="282" spans="2:14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</row>
    <row r="283" spans="2:14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</row>
    <row r="284" spans="2:14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</row>
    <row r="285" spans="2:14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</row>
    <row r="286" spans="2:14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</row>
    <row r="287" spans="2:14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</row>
    <row r="288" spans="2:14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</row>
    <row r="289" spans="2:14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</row>
    <row r="290" spans="2:14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</row>
    <row r="291" spans="2:14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</row>
    <row r="292" spans="2:14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</row>
    <row r="293" spans="2:14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</row>
    <row r="294" spans="2:14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</row>
    <row r="295" spans="2:14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</row>
    <row r="296" spans="2:14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</row>
    <row r="297" spans="2:14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</row>
    <row r="298" spans="2:14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</row>
    <row r="299" spans="2:14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</row>
    <row r="300" spans="2:14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</row>
    <row r="301" spans="2:14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</row>
    <row r="302" spans="2:14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</row>
    <row r="303" spans="2:14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</row>
    <row r="304" spans="2:14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</row>
    <row r="305" spans="2:14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</row>
    <row r="306" spans="2:14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</row>
    <row r="307" spans="2:14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</row>
    <row r="308" spans="2:14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</row>
    <row r="309" spans="2:14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</row>
    <row r="310" spans="2:14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</row>
    <row r="311" spans="2:14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</row>
    <row r="312" spans="2:14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</row>
    <row r="313" spans="2:14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</row>
    <row r="314" spans="2:14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</row>
    <row r="315" spans="2:14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</row>
    <row r="316" spans="2:14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</row>
    <row r="317" spans="2:14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</row>
    <row r="318" spans="2:14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</row>
    <row r="319" spans="2:14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</row>
    <row r="320" spans="2:14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</row>
    <row r="321" spans="2:14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</row>
    <row r="322" spans="2:14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</row>
    <row r="323" spans="2:14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</row>
    <row r="324" spans="2:14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</row>
    <row r="325" spans="2:14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</row>
    <row r="326" spans="2:14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</row>
    <row r="327" spans="2:14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</row>
    <row r="328" spans="2:14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</row>
    <row r="329" spans="2:14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</row>
    <row r="330" spans="2:14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</row>
    <row r="331" spans="2:14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</row>
    <row r="332" spans="2:14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</row>
    <row r="333" spans="2:14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</row>
    <row r="334" spans="2:14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</row>
    <row r="335" spans="2:14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</row>
    <row r="336" spans="2:14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</row>
    <row r="337" spans="2:14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</row>
    <row r="338" spans="2:14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</row>
    <row r="339" spans="2:14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</row>
    <row r="340" spans="2:14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</row>
    <row r="341" spans="2:14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</row>
    <row r="342" spans="2:14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</row>
    <row r="343" spans="2:14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</row>
    <row r="344" spans="2:14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</row>
    <row r="345" spans="2:14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</row>
    <row r="346" spans="2:14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</row>
    <row r="347" spans="2:14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</row>
    <row r="348" spans="2:14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</row>
    <row r="349" spans="2:14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</row>
    <row r="350" spans="2:14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</row>
    <row r="351" spans="2:14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</row>
    <row r="352" spans="2:14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</row>
    <row r="353" spans="2:14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</row>
    <row r="354" spans="2:14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</row>
    <row r="355" spans="2:14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</row>
    <row r="356" spans="2:14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</row>
    <row r="357" spans="2:14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</row>
    <row r="358" spans="2:14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</row>
    <row r="359" spans="2:14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</row>
    <row r="360" spans="2:14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</row>
    <row r="361" spans="2:14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</row>
    <row r="362" spans="2:14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</row>
    <row r="363" spans="2:14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</row>
    <row r="364" spans="2:14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</row>
    <row r="365" spans="2:14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</row>
    <row r="366" spans="2:14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</row>
    <row r="367" spans="2:14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</row>
    <row r="368" spans="2:14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</row>
    <row r="369" spans="2:14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</row>
    <row r="370" spans="2:14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</row>
    <row r="371" spans="2:14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</row>
    <row r="372" spans="2:14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</row>
    <row r="373" spans="2:14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</row>
    <row r="374" spans="2:14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</row>
    <row r="375" spans="2:14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</row>
    <row r="376" spans="2:14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</row>
    <row r="377" spans="2:14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</row>
    <row r="378" spans="2:14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</row>
    <row r="379" spans="2:14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</row>
    <row r="380" spans="2:14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</row>
    <row r="381" spans="2:14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0</xdr:row>
                    <xdr:rowOff>177800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C03DF-A0FB-41AC-B167-5C4F7DF306ED}">
  <sheetPr codeName="Sheet41">
    <tabColor rgb="FF00B050"/>
  </sheetPr>
  <dimension ref="A1:I24"/>
  <sheetViews>
    <sheetView workbookViewId="0">
      <pane ySplit="2" topLeftCell="A3" activePane="bottomLeft" state="frozen"/>
      <selection pane="bottomLeft" activeCell="T26" sqref="T26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 t="str">
        <f>IFERROR(_xlfn.XLOOKUP(A2,'QA WK5'!A:A,'QA WK5'!I:I),"")</f>
        <v/>
      </c>
      <c r="C2" s="94" t="str">
        <f>IFERROR(_xlfn.XLOOKUP(A2,'ME0025 WK5'!A:A,'ME0025 WK5'!J:J),"")</f>
        <v/>
      </c>
      <c r="D2" s="120" t="str">
        <f>IFERROR(C2/$C$23,"")</f>
        <v/>
      </c>
      <c r="E2" s="116" t="str">
        <f>IFERROR(_xlfn.XLOOKUP(A2,'ME0025 WK5'!A:A,'ME0025 WK5'!F:F),"")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Beatriz Alvarado</v>
      </c>
      <c r="B3" s="115" t="str">
        <f>IFERROR(_xlfn.XLOOKUP(A3,'QA WK5'!A:A,'QA WK5'!I:I),"")</f>
        <v/>
      </c>
      <c r="C3" s="94" t="str">
        <f>IFERROR(_xlfn.XLOOKUP(A3,'ME0025 WK5'!A:A,'ME0025 WK5'!J:J),"")</f>
        <v/>
      </c>
      <c r="D3" s="120" t="str">
        <f t="shared" ref="D3:D22" si="1">IFERROR(C3/$C$23,"")</f>
        <v/>
      </c>
      <c r="E3" s="116" t="str">
        <f>IFERROR(_xlfn.XLOOKUP(A3,'ME0025 WK5'!A:A,'ME0025 WK5'!F:F),"")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Rachel Garcia</v>
      </c>
      <c r="B4" s="115" t="str">
        <f>IFERROR(_xlfn.XLOOKUP(A4,'QA WK5'!A:A,'QA WK5'!I:I),"")</f>
        <v/>
      </c>
      <c r="C4" s="94" t="str">
        <f>IFERROR(_xlfn.XLOOKUP(A4,'ME0025 WK5'!A:A,'ME0025 WK5'!J:J),"")</f>
        <v/>
      </c>
      <c r="D4" s="120" t="str">
        <f t="shared" si="1"/>
        <v/>
      </c>
      <c r="E4" s="116" t="str">
        <f>IFERROR(_xlfn.XLOOKUP(A4,'ME0025 WK5'!A:A,'ME0025 WK5'!F:F),"")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Samantha Walker</v>
      </c>
      <c r="B5" s="115" t="str">
        <f>IFERROR(_xlfn.XLOOKUP(A5,'QA WK5'!A:A,'QA WK5'!I:I),"")</f>
        <v/>
      </c>
      <c r="C5" s="94" t="str">
        <f>IFERROR(_xlfn.XLOOKUP(A5,'ME0025 WK5'!A:A,'ME0025 WK5'!J:J),"")</f>
        <v/>
      </c>
      <c r="D5" s="120" t="str">
        <f t="shared" si="1"/>
        <v/>
      </c>
      <c r="E5" s="116" t="str">
        <f>IFERROR(_xlfn.XLOOKUP(A5,'ME0025 WK5'!A:A,'ME0025 WK5'!F:F),"")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Lauren Morgan</v>
      </c>
      <c r="B6" s="115" t="str">
        <f>IFERROR(_xlfn.XLOOKUP(A6,'QA WK5'!A:A,'QA WK5'!I:I),"")</f>
        <v/>
      </c>
      <c r="C6" s="94" t="str">
        <f>IFERROR(_xlfn.XLOOKUP(A6,'ME0025 WK5'!A:A,'ME0025 WK5'!J:J),"")</f>
        <v/>
      </c>
      <c r="D6" s="120" t="str">
        <f t="shared" si="1"/>
        <v/>
      </c>
      <c r="E6" s="116" t="str">
        <f>IFERROR(_xlfn.XLOOKUP(A6,'ME0025 WK5'!A:A,'ME0025 WK5'!F:F),"")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Yazli Yerena</v>
      </c>
      <c r="B7" s="115" t="str">
        <f>IFERROR(_xlfn.XLOOKUP(A7,'QA WK5'!A:A,'QA WK5'!I:I),"")</f>
        <v/>
      </c>
      <c r="C7" s="94" t="str">
        <f>IFERROR(_xlfn.XLOOKUP(A7,'ME0025 WK5'!A:A,'ME0025 WK5'!J:J),"")</f>
        <v/>
      </c>
      <c r="D7" s="120" t="str">
        <f t="shared" si="1"/>
        <v/>
      </c>
      <c r="E7" s="116" t="str">
        <f>IFERROR(_xlfn.XLOOKUP(A7,'ME0025 WK5'!A:A,'ME0025 WK5'!F:F),"")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Erin Underwood</v>
      </c>
      <c r="B8" s="115" t="str">
        <f>IFERROR(_xlfn.XLOOKUP(A8,'QA WK5'!A:A,'QA WK5'!I:I),"")</f>
        <v/>
      </c>
      <c r="C8" s="94" t="str">
        <f>IFERROR(_xlfn.XLOOKUP(A8,'ME0025 WK5'!A:A,'ME0025 WK5'!J:J),"")</f>
        <v/>
      </c>
      <c r="D8" s="120" t="str">
        <f t="shared" si="1"/>
        <v/>
      </c>
      <c r="E8" s="116" t="str">
        <f>IFERROR(_xlfn.XLOOKUP(A8,'ME0025 WK5'!A:A,'ME0025 WK5'!F:F),"")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Yvonne Barbee</v>
      </c>
      <c r="B9" s="115" t="str">
        <f>IFERROR(_xlfn.XLOOKUP(A9,'QA WK5'!A:A,'QA WK5'!I:I),"")</f>
        <v/>
      </c>
      <c r="C9" s="94" t="str">
        <f>IFERROR(_xlfn.XLOOKUP(A9,'ME0025 WK5'!A:A,'ME0025 WK5'!J:J),"")</f>
        <v/>
      </c>
      <c r="D9" s="120" t="str">
        <f t="shared" si="1"/>
        <v/>
      </c>
      <c r="E9" s="116" t="str">
        <f>IFERROR(_xlfn.XLOOKUP(A9,'ME0025 WK5'!A:A,'ME0025 WK5'!F:F),"")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Heather Cash</v>
      </c>
      <c r="B10" s="115" t="str">
        <f>IFERROR(_xlfn.XLOOKUP(A10,'QA WK5'!A:A,'QA WK5'!I:I),"")</f>
        <v/>
      </c>
      <c r="C10" s="94" t="str">
        <f>IFERROR(_xlfn.XLOOKUP(A10,'ME0025 WK5'!A:A,'ME0025 WK5'!J:J),"")</f>
        <v/>
      </c>
      <c r="D10" s="120" t="str">
        <f t="shared" si="1"/>
        <v/>
      </c>
      <c r="E10" s="116" t="str">
        <f>IFERROR(_xlfn.XLOOKUP(A10,'ME0025 WK5'!A:A,'ME0025 WK5'!F:F),"")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Janice Winston</v>
      </c>
      <c r="B11" s="115" t="str">
        <f>IFERROR(_xlfn.XLOOKUP(A11,'QA WK5'!A:A,'QA WK5'!I:I),"")</f>
        <v/>
      </c>
      <c r="C11" s="94" t="str">
        <f>IFERROR(_xlfn.XLOOKUP(A11,'ME0025 WK5'!A:A,'ME0025 WK5'!J:J),"")</f>
        <v/>
      </c>
      <c r="D11" s="120" t="str">
        <f t="shared" si="1"/>
        <v/>
      </c>
      <c r="E11" s="116" t="str">
        <f>IFERROR(_xlfn.XLOOKUP(A11,'ME0025 WK5'!A:A,'ME0025 WK5'!F:F),"")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Antavian Taylor</v>
      </c>
      <c r="B12" s="115" t="str">
        <f>IFERROR(_xlfn.XLOOKUP(A12,'QA WK5'!A:A,'QA WK5'!I:I),"")</f>
        <v/>
      </c>
      <c r="C12" s="94" t="str">
        <f>IFERROR(_xlfn.XLOOKUP(A12,'ME0025 WK5'!A:A,'ME0025 WK5'!J:J),"")</f>
        <v/>
      </c>
      <c r="D12" s="120" t="str">
        <f t="shared" si="1"/>
        <v/>
      </c>
      <c r="E12" s="116" t="str">
        <f>IFERROR(_xlfn.XLOOKUP(A12,'ME0025 WK5'!A:A,'ME0025 WK5'!F:F),"")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Charlincia Montgomery</v>
      </c>
      <c r="B13" s="115" t="str">
        <f>IFERROR(_xlfn.XLOOKUP(A13,'QA WK5'!A:A,'QA WK5'!I:I),"")</f>
        <v/>
      </c>
      <c r="C13" s="94" t="str">
        <f>IFERROR(_xlfn.XLOOKUP(A13,'ME0025 WK5'!A:A,'ME0025 WK5'!J:J),"")</f>
        <v/>
      </c>
      <c r="D13" s="120" t="str">
        <f t="shared" si="1"/>
        <v/>
      </c>
      <c r="E13" s="116" t="str">
        <f>IFERROR(_xlfn.XLOOKUP(A13,'ME0025 WK5'!A:A,'ME0025 WK5'!F:F),"")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Kiarra Grandison</v>
      </c>
      <c r="B14" s="115" t="str">
        <f>IFERROR(_xlfn.XLOOKUP(A14,'QA WK5'!A:A,'QA WK5'!I:I),"")</f>
        <v/>
      </c>
      <c r="C14" s="94" t="str">
        <f>IFERROR(_xlfn.XLOOKUP(A14,'ME0025 WK5'!A:A,'ME0025 WK5'!J:J),"")</f>
        <v/>
      </c>
      <c r="D14" s="120" t="str">
        <f t="shared" si="1"/>
        <v/>
      </c>
      <c r="E14" s="116" t="str">
        <f>IFERROR(_xlfn.XLOOKUP(A14,'ME0025 WK5'!A:A,'ME0025 WK5'!F:F),"")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Keysanah Baldwin</v>
      </c>
      <c r="B15" s="115" t="str">
        <f>IFERROR(_xlfn.XLOOKUP(A15,'QA WK5'!A:A,'QA WK5'!I:I),"")</f>
        <v/>
      </c>
      <c r="C15" s="94" t="str">
        <f>IFERROR(_xlfn.XLOOKUP(A15,'ME0025 WK5'!A:A,'ME0025 WK5'!J:J),"")</f>
        <v/>
      </c>
      <c r="D15" s="120" t="str">
        <f t="shared" si="1"/>
        <v/>
      </c>
      <c r="E15" s="116" t="str">
        <f>IFERROR(_xlfn.XLOOKUP(A15,'ME0025 WK5'!A:A,'ME0025 WK5'!F:F),"")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WK5'!A:A,'QA WK5'!I:I),"")</f>
        <v/>
      </c>
      <c r="C16" s="94" t="str">
        <f>IFERROR(_xlfn.XLOOKUP(A16,'ME0025 WK5'!A:A,'ME0025 WK5'!J:J),"")</f>
        <v/>
      </c>
      <c r="D16" s="120" t="str">
        <f t="shared" si="1"/>
        <v/>
      </c>
      <c r="E16" s="116" t="str">
        <f>IFERROR(_xlfn.XLOOKUP(A16,'ME0025 WK5'!A:A,'ME0025 WK5'!F:F),"")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WK5'!A:A,'QA WK5'!I:I),"")</f>
        <v/>
      </c>
      <c r="C17" s="94" t="str">
        <f>IFERROR(_xlfn.XLOOKUP(A17,'ME0025 WK5'!A:A,'ME0025 WK5'!J:J),"")</f>
        <v/>
      </c>
      <c r="D17" s="120" t="str">
        <f t="shared" si="1"/>
        <v/>
      </c>
      <c r="E17" s="116" t="str">
        <f>IFERROR(_xlfn.XLOOKUP(A17,'ME0025 WK5'!A:A,'ME0025 WK5'!F:F),"")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WK5'!A:A,'QA WK5'!I:I),"")</f>
        <v/>
      </c>
      <c r="C18" s="94" t="str">
        <f>IFERROR(_xlfn.XLOOKUP(A18,'ME0025 WK5'!A:A,'ME0025 WK5'!J:J),"")</f>
        <v/>
      </c>
      <c r="D18" s="120" t="str">
        <f t="shared" si="1"/>
        <v/>
      </c>
      <c r="E18" s="116" t="str">
        <f>IFERROR(_xlfn.XLOOKUP(A18,'ME0025 WK5'!A:A,'ME0025 WK5'!F:F),"")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WK5'!A:A,'QA WK5'!I:I),"")</f>
        <v/>
      </c>
      <c r="C19" s="94" t="str">
        <f>IFERROR(_xlfn.XLOOKUP(A19,'ME0025 WK5'!A:A,'ME0025 WK5'!J:J),"")</f>
        <v/>
      </c>
      <c r="D19" s="120" t="str">
        <f t="shared" si="1"/>
        <v/>
      </c>
      <c r="E19" s="116" t="str">
        <f>IFERROR(_xlfn.XLOOKUP(A19,'ME0025 WK5'!A:A,'ME0025 WK5'!F:F),"")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WK5'!A:A,'QA WK5'!I:I),"")</f>
        <v/>
      </c>
      <c r="C20" s="94" t="str">
        <f>IFERROR(_xlfn.XLOOKUP(A20,'ME0025 WK5'!A:A,'ME0025 WK5'!J:J),"")</f>
        <v/>
      </c>
      <c r="D20" s="120" t="str">
        <f t="shared" si="1"/>
        <v/>
      </c>
      <c r="E20" s="116" t="str">
        <f>IFERROR(_xlfn.XLOOKUP(A20,'ME0025 WK5'!A:A,'ME0025 WK5'!F:F),"")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WK5'!A:A,'QA WK5'!I:I),"")</f>
        <v/>
      </c>
      <c r="C21" s="94" t="str">
        <f>IFERROR(_xlfn.XLOOKUP(A21,'ME0025 WK5'!A:A,'ME0025 WK5'!J:J),"")</f>
        <v/>
      </c>
      <c r="D21" s="120" t="str">
        <f t="shared" si="1"/>
        <v/>
      </c>
      <c r="E21" s="116" t="str">
        <f>IFERROR(_xlfn.XLOOKUP(A21,'ME0025 WK5'!A:A,'ME0025 WK5'!F:F),"")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WK5'!A:A,'QA WK5'!I:I),"")</f>
        <v/>
      </c>
      <c r="C22" s="94" t="str">
        <f>IFERROR(_xlfn.XLOOKUP(A22,'ME0025 WK5'!A:A,'ME0025 WK5'!J:J),"")</f>
        <v/>
      </c>
      <c r="D22" s="120" t="str">
        <f t="shared" si="1"/>
        <v/>
      </c>
      <c r="E22" s="116" t="str">
        <f>IFERROR(_xlfn.XLOOKUP(A22,'ME0025 WK5'!A:A,'ME0025 WK5'!F:F),"")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2" t="s">
        <v>45</v>
      </c>
      <c r="B23" s="203"/>
      <c r="C23" s="121">
        <v>3.25</v>
      </c>
      <c r="D23" s="200" t="s">
        <v>21</v>
      </c>
      <c r="E23" s="201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GOQqa6xUbFpsO7fDfK5+ftPcNSD1/PzQD1aVHUipB3sSyMbEINXWAhU8+yY8W5iVyn95Wyc/ho6zHFwt/AW6Mg==" saltValue="ZjDtsI0Q3/rh0EsdCJJ6Zg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FE160-1B12-4126-A7EA-8E29C49541E2}">
  <sheetPr codeName="Sheet12">
    <tabColor rgb="FF00B050"/>
  </sheetPr>
  <dimension ref="A1:I30"/>
  <sheetViews>
    <sheetView workbookViewId="0">
      <selection activeCell="C10" sqref="C10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51</v>
      </c>
      <c r="C1" s="111" t="s">
        <v>52</v>
      </c>
      <c r="D1" s="111" t="s">
        <v>53</v>
      </c>
      <c r="E1" s="157" t="s">
        <v>54</v>
      </c>
      <c r="F1" s="158" t="s">
        <v>55</v>
      </c>
      <c r="G1" s="158" t="s">
        <v>56</v>
      </c>
      <c r="H1" s="158" t="s">
        <v>57</v>
      </c>
      <c r="I1" s="158" t="s">
        <v>58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4" name="Button 2">
              <controlPr defaultSize="0" print="0" autoFill="0" autoPict="0" macro="[0]!ClearQA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23B51-01A2-4F04-AAEE-F2519662E874}">
  <sheetPr codeName="Sheet44">
    <tabColor rgb="FF00B050"/>
  </sheetPr>
  <dimension ref="A1:AB381"/>
  <sheetViews>
    <sheetView workbookViewId="0">
      <selection activeCell="B12" sqref="B12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6" width="9.08984375" style="1"/>
    <col min="7" max="7" width="26.08984375" style="1" bestFit="1" customWidth="1"/>
    <col min="8" max="27" width="9.08984375" style="1"/>
    <col min="28" max="28" width="24.453125" style="1" bestFit="1" customWidth="1"/>
    <col min="29" max="16384" width="9.08984375" style="1"/>
  </cols>
  <sheetData>
    <row r="1" spans="1:28" s="162" customFormat="1" x14ac:dyDescent="0.35">
      <c r="A1" s="159" t="s">
        <v>1</v>
      </c>
      <c r="B1" s="159" t="s">
        <v>2</v>
      </c>
      <c r="C1" s="159" t="s">
        <v>3</v>
      </c>
      <c r="D1" s="159" t="s">
        <v>10</v>
      </c>
      <c r="E1" s="159" t="s">
        <v>4</v>
      </c>
      <c r="F1" s="159" t="s">
        <v>5</v>
      </c>
      <c r="G1" s="159" t="s">
        <v>6</v>
      </c>
      <c r="H1" s="159" t="s">
        <v>59</v>
      </c>
      <c r="I1" s="160" t="s">
        <v>7</v>
      </c>
      <c r="J1" s="161" t="s">
        <v>60</v>
      </c>
      <c r="K1" s="160" t="s">
        <v>8</v>
      </c>
      <c r="L1" s="159" t="s">
        <v>9</v>
      </c>
      <c r="M1" s="159" t="s">
        <v>61</v>
      </c>
      <c r="N1" s="159" t="s">
        <v>62</v>
      </c>
      <c r="O1" s="159"/>
      <c r="P1" s="159"/>
      <c r="Q1" s="159"/>
      <c r="R1" s="159"/>
      <c r="S1" s="159"/>
      <c r="T1" s="161"/>
      <c r="U1" s="161"/>
      <c r="V1" s="159"/>
      <c r="W1" s="159"/>
      <c r="X1" s="159"/>
      <c r="Y1" s="159"/>
      <c r="Z1" s="159"/>
      <c r="AA1" s="159"/>
      <c r="AB1" s="159"/>
    </row>
    <row r="2" spans="1:28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  <c r="O2" s="25"/>
      <c r="P2" s="25"/>
      <c r="Q2" s="26"/>
      <c r="R2" s="25"/>
      <c r="S2" s="27"/>
      <c r="T2" s="28"/>
      <c r="U2" s="24"/>
      <c r="V2" s="24"/>
      <c r="W2" s="24"/>
      <c r="X2" s="24"/>
      <c r="Y2" s="24"/>
      <c r="Z2" s="24"/>
      <c r="AA2" s="24"/>
      <c r="AB2" s="29"/>
    </row>
    <row r="3" spans="1:28" ht="15" thickBot="1" x14ac:dyDescent="0.4">
      <c r="A3" s="33"/>
      <c r="B3" s="30"/>
      <c r="C3" s="10"/>
      <c r="D3" s="10"/>
      <c r="E3" s="5"/>
      <c r="F3" s="10"/>
      <c r="G3" s="5"/>
      <c r="H3" s="10"/>
      <c r="I3" s="5"/>
      <c r="J3" s="10"/>
      <c r="K3" s="10"/>
      <c r="L3" s="10"/>
      <c r="M3" s="10"/>
      <c r="N3" s="10"/>
      <c r="O3" s="6"/>
      <c r="P3" s="6"/>
      <c r="Q3" s="7"/>
      <c r="R3" s="6"/>
      <c r="S3" s="8"/>
      <c r="T3" s="9"/>
      <c r="U3" s="5"/>
      <c r="V3" s="5"/>
      <c r="W3" s="5"/>
      <c r="X3" s="5"/>
      <c r="Y3" s="5"/>
      <c r="Z3" s="5"/>
      <c r="AA3" s="5"/>
      <c r="AB3" s="11"/>
    </row>
    <row r="4" spans="1:28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  <c r="O4" s="15"/>
      <c r="P4" s="15"/>
      <c r="Q4" s="16"/>
      <c r="R4" s="15"/>
      <c r="S4" s="17"/>
      <c r="T4" s="18"/>
      <c r="U4" s="14"/>
      <c r="V4" s="14"/>
      <c r="W4" s="14"/>
      <c r="X4" s="14"/>
      <c r="Y4" s="14"/>
      <c r="Z4" s="14"/>
      <c r="AA4" s="14"/>
      <c r="AB4" s="19"/>
    </row>
    <row r="5" spans="1:28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  <c r="O5" s="15"/>
      <c r="P5" s="15"/>
      <c r="Q5" s="16"/>
      <c r="R5" s="15"/>
      <c r="S5" s="17"/>
      <c r="T5" s="18"/>
      <c r="U5" s="14"/>
      <c r="V5" s="14"/>
      <c r="W5" s="14"/>
      <c r="X5" s="14"/>
      <c r="Y5" s="14"/>
      <c r="Z5" s="14"/>
      <c r="AA5" s="14"/>
      <c r="AB5" s="19"/>
    </row>
    <row r="6" spans="1:28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  <c r="O6" s="15"/>
      <c r="P6" s="15"/>
      <c r="Q6" s="16"/>
      <c r="R6" s="15"/>
      <c r="S6" s="17"/>
      <c r="T6" s="18"/>
      <c r="U6" s="14"/>
      <c r="V6" s="14"/>
      <c r="W6" s="14"/>
      <c r="X6" s="14"/>
      <c r="Y6" s="14"/>
      <c r="Z6" s="14"/>
      <c r="AA6" s="14"/>
      <c r="AB6" s="19"/>
    </row>
    <row r="7" spans="1:28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  <c r="O7" s="15"/>
      <c r="P7" s="15"/>
      <c r="Q7" s="16"/>
      <c r="R7" s="15"/>
      <c r="S7" s="17"/>
      <c r="T7" s="18"/>
      <c r="U7" s="14"/>
      <c r="V7" s="14"/>
      <c r="W7" s="14"/>
      <c r="X7" s="14"/>
      <c r="Y7" s="14"/>
      <c r="Z7" s="14"/>
      <c r="AA7" s="14"/>
      <c r="AB7" s="19"/>
    </row>
    <row r="8" spans="1:28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  <c r="O8" s="15"/>
      <c r="P8" s="15"/>
      <c r="Q8" s="16"/>
      <c r="R8" s="15"/>
      <c r="S8" s="17"/>
      <c r="T8" s="18"/>
      <c r="U8" s="14"/>
      <c r="V8" s="14"/>
      <c r="W8" s="14"/>
      <c r="X8" s="14"/>
      <c r="Y8" s="14"/>
      <c r="Z8" s="14"/>
      <c r="AA8" s="14"/>
      <c r="AB8" s="19"/>
    </row>
    <row r="9" spans="1:28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  <c r="O9" s="15"/>
      <c r="P9" s="15"/>
      <c r="Q9" s="16"/>
      <c r="R9" s="15"/>
      <c r="S9" s="17"/>
      <c r="T9" s="18"/>
      <c r="U9" s="14"/>
      <c r="V9" s="14"/>
      <c r="W9" s="14"/>
      <c r="X9" s="14"/>
      <c r="Y9" s="14"/>
      <c r="Z9" s="14"/>
      <c r="AA9" s="14"/>
      <c r="AB9" s="19"/>
    </row>
    <row r="10" spans="1:28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  <c r="O10" s="15"/>
      <c r="P10" s="15"/>
      <c r="Q10" s="16"/>
      <c r="R10" s="15"/>
      <c r="S10" s="17"/>
      <c r="T10" s="18"/>
      <c r="U10" s="14"/>
      <c r="V10" s="14"/>
      <c r="W10" s="14"/>
      <c r="X10" s="14"/>
      <c r="Y10" s="14"/>
      <c r="Z10" s="14"/>
      <c r="AA10" s="14"/>
      <c r="AB10" s="19"/>
    </row>
    <row r="11" spans="1:28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  <c r="O11" s="15"/>
      <c r="P11" s="15"/>
      <c r="Q11" s="16"/>
      <c r="R11" s="15"/>
      <c r="S11" s="17"/>
      <c r="T11" s="18"/>
      <c r="U11" s="14"/>
      <c r="V11" s="14"/>
      <c r="W11" s="14"/>
      <c r="X11" s="14"/>
      <c r="Y11" s="14"/>
      <c r="Z11" s="14"/>
      <c r="AA11" s="14"/>
      <c r="AB11" s="19"/>
    </row>
    <row r="12" spans="1:28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  <c r="O12" s="15"/>
      <c r="P12" s="15"/>
      <c r="Q12" s="16"/>
      <c r="R12" s="15"/>
      <c r="S12" s="17"/>
      <c r="T12" s="18"/>
      <c r="U12" s="14"/>
      <c r="V12" s="14"/>
      <c r="W12" s="14"/>
      <c r="X12" s="14"/>
      <c r="Y12" s="14"/>
      <c r="Z12" s="14"/>
      <c r="AA12" s="14"/>
      <c r="AB12" s="19"/>
    </row>
    <row r="13" spans="1:28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  <c r="O13" s="15"/>
      <c r="P13" s="15"/>
      <c r="Q13" s="16"/>
      <c r="R13" s="15"/>
      <c r="S13" s="17"/>
      <c r="T13" s="18"/>
      <c r="U13" s="14"/>
      <c r="V13" s="14"/>
      <c r="W13" s="14"/>
      <c r="X13" s="14"/>
      <c r="Y13" s="14"/>
      <c r="Z13" s="14"/>
      <c r="AA13" s="14"/>
      <c r="AB13" s="19"/>
    </row>
    <row r="14" spans="1:28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  <c r="O14" s="15"/>
      <c r="P14" s="15"/>
      <c r="Q14" s="16"/>
      <c r="R14" s="15"/>
      <c r="S14" s="17"/>
      <c r="T14" s="18"/>
      <c r="U14" s="14"/>
      <c r="V14" s="14"/>
      <c r="W14" s="14"/>
      <c r="X14" s="14"/>
      <c r="Y14" s="14"/>
      <c r="Z14" s="14"/>
      <c r="AA14" s="14"/>
      <c r="AB14" s="19"/>
    </row>
    <row r="15" spans="1:28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  <c r="O15" s="15"/>
      <c r="P15" s="15"/>
      <c r="Q15" s="16"/>
      <c r="R15" s="15"/>
      <c r="S15" s="17"/>
      <c r="T15" s="18"/>
      <c r="U15" s="14"/>
      <c r="V15" s="14"/>
      <c r="W15" s="14"/>
      <c r="X15" s="14"/>
      <c r="Y15" s="14"/>
      <c r="Z15" s="14"/>
      <c r="AA15" s="14"/>
      <c r="AB15" s="19"/>
    </row>
    <row r="16" spans="1:28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  <c r="O16" s="15"/>
      <c r="P16" s="15"/>
      <c r="Q16" s="16"/>
      <c r="R16" s="15"/>
      <c r="S16" s="17"/>
      <c r="T16" s="18"/>
      <c r="U16" s="14"/>
      <c r="V16" s="14"/>
      <c r="W16" s="14"/>
      <c r="X16" s="14"/>
      <c r="Y16" s="14"/>
      <c r="Z16" s="14"/>
      <c r="AA16" s="14"/>
      <c r="AB16" s="19"/>
    </row>
    <row r="17" spans="1:28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  <c r="O17" s="15"/>
      <c r="P17" s="15"/>
      <c r="Q17" s="16"/>
      <c r="R17" s="15"/>
      <c r="S17" s="17"/>
      <c r="T17" s="18"/>
      <c r="U17" s="14"/>
      <c r="V17" s="14"/>
      <c r="W17" s="14"/>
      <c r="X17" s="14"/>
      <c r="Y17" s="14"/>
      <c r="Z17" s="14"/>
      <c r="AA17" s="14"/>
      <c r="AB17" s="19"/>
    </row>
    <row r="18" spans="1:28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  <c r="O18" s="15"/>
      <c r="P18" s="15"/>
      <c r="Q18" s="16"/>
      <c r="R18" s="15"/>
      <c r="S18" s="17"/>
      <c r="T18" s="18"/>
      <c r="U18" s="14"/>
      <c r="V18" s="14"/>
      <c r="W18" s="14"/>
      <c r="X18" s="14"/>
      <c r="Y18" s="14"/>
      <c r="Z18" s="14"/>
      <c r="AA18" s="14"/>
      <c r="AB18" s="19"/>
    </row>
    <row r="19" spans="1:28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  <c r="O19" s="15"/>
      <c r="P19" s="15"/>
      <c r="Q19" s="16"/>
      <c r="R19" s="15"/>
      <c r="S19" s="17"/>
      <c r="T19" s="18"/>
      <c r="U19" s="14"/>
      <c r="V19" s="14"/>
      <c r="W19" s="14"/>
      <c r="X19" s="14"/>
      <c r="Y19" s="14"/>
      <c r="Z19" s="14"/>
      <c r="AA19" s="14"/>
      <c r="AB19" s="19"/>
    </row>
    <row r="20" spans="1:28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  <c r="O20" s="15"/>
      <c r="P20" s="15"/>
      <c r="Q20" s="16"/>
      <c r="R20" s="15"/>
      <c r="S20" s="17"/>
      <c r="T20" s="18"/>
      <c r="U20" s="14"/>
      <c r="V20" s="14"/>
      <c r="W20" s="14"/>
      <c r="X20" s="14"/>
      <c r="Y20" s="14"/>
      <c r="Z20" s="14"/>
      <c r="AA20" s="14"/>
      <c r="AB20" s="19"/>
    </row>
    <row r="21" spans="1:28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  <c r="O21" s="15"/>
      <c r="P21" s="15"/>
      <c r="Q21" s="16"/>
      <c r="R21" s="15"/>
      <c r="S21" s="17"/>
      <c r="T21" s="18"/>
      <c r="U21" s="14"/>
      <c r="V21" s="14"/>
      <c r="W21" s="14"/>
      <c r="X21" s="14"/>
      <c r="Y21" s="14"/>
      <c r="Z21" s="14"/>
      <c r="AA21" s="14"/>
      <c r="AB21" s="19"/>
    </row>
    <row r="22" spans="1:28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  <c r="O22" s="15"/>
      <c r="P22" s="15"/>
      <c r="Q22" s="16"/>
      <c r="R22" s="15"/>
      <c r="S22" s="17"/>
      <c r="T22" s="18"/>
      <c r="U22" s="14"/>
      <c r="V22" s="14"/>
      <c r="W22" s="14"/>
      <c r="X22" s="14"/>
      <c r="Y22" s="14"/>
      <c r="Z22" s="14"/>
      <c r="AA22" s="14"/>
      <c r="AB22" s="19"/>
    </row>
    <row r="23" spans="1:28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  <c r="O23" s="20"/>
      <c r="P23" s="20"/>
      <c r="Q23" s="20"/>
      <c r="R23" s="20"/>
      <c r="S23" s="20"/>
      <c r="T23" s="20"/>
      <c r="U23" s="3"/>
      <c r="V23" s="3"/>
      <c r="W23" s="3"/>
      <c r="X23" s="3"/>
      <c r="Y23" s="3"/>
      <c r="Z23" s="3"/>
      <c r="AA23" s="3"/>
      <c r="AB23" s="19"/>
    </row>
    <row r="24" spans="1:28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  <c r="O24" s="20"/>
      <c r="P24" s="20"/>
      <c r="Q24" s="20"/>
      <c r="R24" s="20"/>
      <c r="S24" s="20"/>
      <c r="T24" s="20"/>
      <c r="U24" s="3"/>
      <c r="V24" s="3"/>
      <c r="W24" s="3"/>
      <c r="X24" s="3"/>
      <c r="Y24" s="3"/>
      <c r="Z24" s="3"/>
      <c r="AA24" s="3"/>
      <c r="AB24" s="19"/>
    </row>
    <row r="25" spans="1:28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  <c r="O25" s="20"/>
      <c r="P25" s="20"/>
      <c r="Q25" s="20"/>
      <c r="R25" s="20"/>
      <c r="S25" s="20"/>
      <c r="T25" s="20"/>
      <c r="U25" s="3"/>
      <c r="V25" s="3"/>
      <c r="W25" s="3"/>
      <c r="X25" s="3"/>
      <c r="Y25" s="3"/>
      <c r="Z25" s="3"/>
      <c r="AA25" s="3"/>
      <c r="AB25" s="19"/>
    </row>
    <row r="26" spans="1:28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  <c r="O26" s="20"/>
      <c r="P26" s="20"/>
      <c r="Q26" s="20"/>
      <c r="R26" s="20"/>
      <c r="S26" s="20"/>
      <c r="T26" s="20"/>
      <c r="U26" s="3"/>
      <c r="V26" s="3"/>
      <c r="W26" s="3"/>
      <c r="X26" s="3"/>
      <c r="Y26" s="3"/>
      <c r="Z26" s="3"/>
      <c r="AA26" s="3"/>
      <c r="AB26" s="19"/>
    </row>
    <row r="27" spans="1:28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  <c r="O27" s="20"/>
      <c r="P27" s="20"/>
      <c r="Q27" s="20"/>
      <c r="R27" s="20"/>
      <c r="S27" s="20"/>
      <c r="T27" s="20"/>
      <c r="U27" s="3"/>
      <c r="V27" s="3"/>
      <c r="W27" s="3"/>
      <c r="X27" s="3"/>
      <c r="Y27" s="3"/>
      <c r="Z27" s="3"/>
      <c r="AA27" s="3"/>
      <c r="AB27" s="36"/>
    </row>
    <row r="28" spans="1:28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  <c r="O28" s="20"/>
      <c r="P28" s="20"/>
      <c r="Q28" s="20"/>
      <c r="R28" s="20"/>
      <c r="S28" s="20"/>
      <c r="T28" s="20"/>
      <c r="U28" s="3"/>
      <c r="V28" s="3"/>
      <c r="W28" s="3"/>
      <c r="X28" s="3"/>
      <c r="Y28" s="3"/>
      <c r="Z28" s="3"/>
      <c r="AA28" s="3"/>
      <c r="AB28" s="36"/>
    </row>
    <row r="29" spans="1:28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  <c r="O29" s="20"/>
      <c r="P29" s="20"/>
      <c r="Q29" s="20"/>
      <c r="R29" s="20"/>
      <c r="S29" s="20"/>
      <c r="T29" s="20"/>
      <c r="U29" s="3"/>
      <c r="V29" s="3"/>
      <c r="W29" s="3"/>
      <c r="X29" s="3"/>
      <c r="Y29" s="3"/>
      <c r="Z29" s="3"/>
      <c r="AA29" s="3"/>
      <c r="AB29" s="19"/>
    </row>
    <row r="30" spans="1:28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  <c r="O30" s="20"/>
      <c r="P30" s="20"/>
      <c r="Q30" s="20"/>
      <c r="R30" s="20"/>
      <c r="S30" s="20"/>
      <c r="T30" s="20"/>
      <c r="U30" s="3"/>
      <c r="V30" s="3"/>
      <c r="W30" s="3"/>
      <c r="X30" s="3"/>
      <c r="Y30" s="3"/>
      <c r="Z30" s="3"/>
      <c r="AA30" s="3"/>
      <c r="AB30" s="19"/>
    </row>
    <row r="31" spans="1:28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  <c r="O31" s="20"/>
      <c r="P31" s="20"/>
      <c r="Q31" s="20"/>
      <c r="R31" s="20"/>
      <c r="S31" s="20"/>
      <c r="T31" s="20"/>
      <c r="U31" s="3"/>
      <c r="V31" s="3"/>
      <c r="W31" s="3"/>
      <c r="X31" s="3"/>
      <c r="Y31" s="3"/>
      <c r="Z31" s="3"/>
      <c r="AA31" s="3"/>
      <c r="AB31" s="19"/>
    </row>
    <row r="32" spans="1:28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  <c r="O32" s="20"/>
      <c r="P32" s="20"/>
      <c r="Q32" s="20"/>
      <c r="R32" s="20"/>
      <c r="S32" s="20"/>
      <c r="T32" s="20"/>
      <c r="U32" s="3"/>
      <c r="V32" s="3"/>
      <c r="W32" s="3"/>
      <c r="X32" s="3"/>
      <c r="Y32" s="3"/>
      <c r="Z32" s="3"/>
      <c r="AA32" s="3"/>
      <c r="AB32" s="19"/>
    </row>
    <row r="33" spans="1:28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  <c r="O33" s="20"/>
      <c r="P33" s="20"/>
      <c r="Q33" s="20"/>
      <c r="R33" s="20"/>
      <c r="S33" s="20"/>
      <c r="T33" s="20"/>
      <c r="U33" s="3"/>
      <c r="V33" s="3"/>
      <c r="W33" s="3"/>
      <c r="X33" s="3"/>
      <c r="Y33" s="3"/>
      <c r="Z33" s="3"/>
      <c r="AA33" s="3"/>
      <c r="AB33" s="19"/>
    </row>
    <row r="34" spans="1:28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  <c r="O34" s="20"/>
      <c r="P34" s="20"/>
      <c r="Q34" s="20"/>
      <c r="R34" s="20"/>
      <c r="S34" s="20"/>
      <c r="T34" s="20"/>
      <c r="U34" s="3"/>
      <c r="V34" s="3"/>
      <c r="W34" s="3"/>
      <c r="X34" s="3"/>
      <c r="Y34" s="3"/>
      <c r="Z34" s="3"/>
      <c r="AA34" s="3"/>
      <c r="AB34" s="36"/>
    </row>
    <row r="35" spans="1:28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  <c r="O35" s="20"/>
      <c r="P35" s="20"/>
      <c r="Q35" s="20"/>
      <c r="R35" s="20"/>
      <c r="S35" s="20"/>
      <c r="T35" s="20"/>
      <c r="U35" s="3"/>
      <c r="V35" s="3"/>
      <c r="W35" s="3"/>
      <c r="X35" s="3"/>
      <c r="Y35" s="3"/>
      <c r="Z35" s="3"/>
      <c r="AA35" s="3"/>
      <c r="AB35" s="36"/>
    </row>
    <row r="36" spans="1:28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  <c r="O36" s="20"/>
      <c r="P36" s="20"/>
      <c r="Q36" s="20"/>
      <c r="R36" s="20"/>
      <c r="S36" s="20"/>
      <c r="T36" s="20"/>
      <c r="U36" s="3"/>
      <c r="V36" s="3"/>
      <c r="W36" s="3"/>
      <c r="X36" s="3"/>
      <c r="Y36" s="3"/>
      <c r="Z36" s="3"/>
      <c r="AA36" s="3"/>
      <c r="AB36" s="36"/>
    </row>
    <row r="37" spans="1:28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  <c r="O37" s="22"/>
      <c r="P37" s="22"/>
      <c r="Q37" s="22"/>
      <c r="R37" s="22"/>
      <c r="S37" s="22"/>
      <c r="T37" s="22"/>
      <c r="U37" s="38"/>
      <c r="V37" s="38"/>
      <c r="W37" s="38"/>
      <c r="X37" s="38"/>
      <c r="Y37" s="38"/>
      <c r="Z37" s="38"/>
      <c r="AA37" s="38"/>
      <c r="AB37" s="39"/>
    </row>
    <row r="38" spans="1:28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  <c r="U38" s="2"/>
      <c r="V38" s="2"/>
      <c r="W38" s="2"/>
      <c r="X38" s="2"/>
      <c r="Y38" s="2"/>
      <c r="Z38" s="2"/>
      <c r="AA38" s="2"/>
      <c r="AB38" s="40"/>
    </row>
    <row r="39" spans="1:28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  <c r="U39" s="2"/>
      <c r="V39" s="2"/>
      <c r="W39" s="2"/>
      <c r="X39" s="2"/>
      <c r="Y39" s="2"/>
      <c r="Z39" s="2"/>
      <c r="AA39" s="2"/>
      <c r="AB39" s="41"/>
    </row>
    <row r="40" spans="1:28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  <c r="U40" s="2"/>
      <c r="V40" s="2"/>
      <c r="W40" s="2"/>
      <c r="X40" s="2"/>
      <c r="Y40" s="2"/>
      <c r="Z40" s="2"/>
      <c r="AA40" s="2"/>
      <c r="AB40" s="40"/>
    </row>
    <row r="41" spans="1:28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  <c r="U41" s="2"/>
      <c r="V41" s="2"/>
      <c r="W41" s="2"/>
      <c r="X41" s="2"/>
      <c r="Y41" s="2"/>
      <c r="Z41" s="2"/>
      <c r="AA41" s="2"/>
      <c r="AB41" s="41"/>
    </row>
    <row r="42" spans="1:28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  <c r="U42" s="2"/>
      <c r="V42" s="2"/>
      <c r="W42" s="2"/>
      <c r="X42" s="2"/>
      <c r="Y42" s="2"/>
      <c r="Z42" s="2"/>
      <c r="AA42" s="2"/>
      <c r="AB42" s="40"/>
    </row>
    <row r="43" spans="1:28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  <c r="U43" s="2"/>
      <c r="V43" s="2"/>
      <c r="W43" s="2"/>
      <c r="X43" s="2"/>
      <c r="Y43" s="2"/>
      <c r="Z43" s="2"/>
      <c r="AA43" s="2"/>
      <c r="AB43" s="41"/>
    </row>
    <row r="44" spans="1:28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  <c r="U44" s="2"/>
      <c r="V44" s="2"/>
      <c r="W44" s="2"/>
      <c r="X44" s="2"/>
      <c r="Y44" s="2"/>
      <c r="Z44" s="2"/>
      <c r="AA44" s="2"/>
      <c r="AB44" s="40"/>
    </row>
    <row r="45" spans="1:28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  <c r="U45" s="2"/>
      <c r="V45" s="2"/>
      <c r="W45" s="2"/>
      <c r="X45" s="2"/>
      <c r="Y45" s="2"/>
      <c r="Z45" s="2"/>
      <c r="AA45" s="2"/>
      <c r="AB45" s="40"/>
    </row>
    <row r="46" spans="1:28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  <c r="U46" s="2"/>
      <c r="V46" s="2"/>
      <c r="W46" s="2"/>
      <c r="X46" s="2"/>
      <c r="Y46" s="2"/>
      <c r="Z46" s="2"/>
      <c r="AA46" s="2"/>
      <c r="AB46" s="40"/>
    </row>
    <row r="47" spans="1:28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  <c r="U47" s="2"/>
      <c r="V47" s="2"/>
      <c r="W47" s="2"/>
      <c r="X47" s="2"/>
      <c r="Y47" s="2"/>
      <c r="Z47" s="2"/>
      <c r="AA47" s="2"/>
      <c r="AB47" s="41"/>
    </row>
    <row r="48" spans="1:28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  <c r="U48" s="2"/>
      <c r="V48" s="2"/>
      <c r="W48" s="2"/>
      <c r="X48" s="2"/>
      <c r="Y48" s="2"/>
      <c r="Z48" s="2"/>
      <c r="AA48" s="2"/>
      <c r="AB48" s="40"/>
    </row>
    <row r="49" spans="2:28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  <c r="U49" s="2"/>
      <c r="V49" s="2"/>
      <c r="W49" s="2"/>
      <c r="X49" s="2"/>
      <c r="Y49" s="2"/>
      <c r="Z49" s="2"/>
      <c r="AA49" s="2"/>
      <c r="AB49" s="40"/>
    </row>
    <row r="50" spans="2:28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  <c r="U50" s="2"/>
      <c r="V50" s="2"/>
      <c r="W50" s="2"/>
      <c r="X50" s="2"/>
      <c r="Y50" s="2"/>
      <c r="Z50" s="2"/>
      <c r="AA50" s="2"/>
      <c r="AB50" s="41"/>
    </row>
    <row r="51" spans="2:28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  <c r="U51" s="2"/>
      <c r="V51" s="2"/>
      <c r="W51" s="2"/>
      <c r="X51" s="2"/>
      <c r="Y51" s="2"/>
      <c r="Z51" s="2"/>
      <c r="AA51" s="2"/>
      <c r="AB51" s="40"/>
    </row>
    <row r="52" spans="2:28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  <c r="U52" s="2"/>
      <c r="V52" s="2"/>
      <c r="W52" s="2"/>
      <c r="X52" s="2"/>
      <c r="Y52" s="2"/>
      <c r="Z52" s="2"/>
      <c r="AA52" s="2"/>
      <c r="AB52" s="40"/>
    </row>
    <row r="53" spans="2:28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  <c r="U53" s="2"/>
      <c r="V53" s="2"/>
      <c r="W53" s="2"/>
      <c r="X53" s="2"/>
      <c r="Y53" s="2"/>
      <c r="Z53" s="2"/>
      <c r="AA53" s="2"/>
      <c r="AB53" s="41"/>
    </row>
    <row r="54" spans="2:28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  <c r="U54" s="2"/>
      <c r="V54" s="2"/>
      <c r="W54" s="2"/>
      <c r="X54" s="2"/>
      <c r="Y54" s="2"/>
      <c r="Z54" s="2"/>
      <c r="AA54" s="2"/>
      <c r="AB54" s="41"/>
    </row>
    <row r="55" spans="2:28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  <c r="U55" s="2"/>
      <c r="V55" s="2"/>
      <c r="W55" s="2"/>
      <c r="X55" s="2"/>
      <c r="Y55" s="2"/>
      <c r="Z55" s="2"/>
      <c r="AA55" s="2"/>
      <c r="AB55" s="40"/>
    </row>
    <row r="56" spans="2:28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  <c r="U56" s="2"/>
      <c r="V56" s="2"/>
      <c r="W56" s="2"/>
      <c r="X56" s="2"/>
      <c r="Y56" s="2"/>
      <c r="Z56" s="2"/>
      <c r="AA56" s="2"/>
      <c r="AB56" s="41"/>
    </row>
    <row r="57" spans="2:28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  <c r="U57" s="2"/>
      <c r="V57" s="2"/>
      <c r="W57" s="2"/>
      <c r="X57" s="2"/>
      <c r="Y57" s="2"/>
      <c r="Z57" s="2"/>
      <c r="AA57" s="2"/>
      <c r="AB57" s="40"/>
    </row>
    <row r="58" spans="2:28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  <c r="U58" s="2"/>
      <c r="V58" s="2"/>
      <c r="W58" s="2"/>
      <c r="X58" s="2"/>
      <c r="Y58" s="2"/>
      <c r="Z58" s="2"/>
      <c r="AA58" s="2"/>
      <c r="AB58" s="41"/>
    </row>
    <row r="59" spans="2:28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  <c r="U59" s="2"/>
      <c r="V59" s="2"/>
      <c r="W59" s="2"/>
      <c r="X59" s="2"/>
      <c r="Y59" s="2"/>
      <c r="Z59" s="2"/>
      <c r="AA59" s="2"/>
      <c r="AB59" s="40"/>
    </row>
    <row r="60" spans="2:28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  <c r="U60" s="2"/>
      <c r="V60" s="2"/>
      <c r="W60" s="2"/>
      <c r="X60" s="2"/>
      <c r="Y60" s="2"/>
      <c r="Z60" s="2"/>
      <c r="AA60" s="2"/>
      <c r="AB60" s="40"/>
    </row>
    <row r="61" spans="2:28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  <c r="U61" s="2"/>
      <c r="V61" s="2"/>
      <c r="W61" s="2"/>
      <c r="X61" s="2"/>
      <c r="Y61" s="2"/>
      <c r="Z61" s="2"/>
      <c r="AA61" s="2"/>
      <c r="AB61" s="40"/>
    </row>
    <row r="62" spans="2:28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  <c r="U62" s="2"/>
      <c r="V62" s="2"/>
      <c r="W62" s="2"/>
      <c r="X62" s="2"/>
      <c r="Y62" s="2"/>
      <c r="Z62" s="2"/>
      <c r="AA62" s="2"/>
      <c r="AB62" s="41"/>
    </row>
    <row r="63" spans="2:28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  <c r="U63" s="2"/>
      <c r="V63" s="2"/>
      <c r="W63" s="2"/>
      <c r="X63" s="2"/>
      <c r="Y63" s="2"/>
      <c r="Z63" s="2"/>
      <c r="AA63" s="2"/>
      <c r="AB63" s="40"/>
    </row>
    <row r="64" spans="2:28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  <c r="U64" s="2"/>
      <c r="V64" s="2"/>
      <c r="W64" s="2"/>
      <c r="X64" s="2"/>
      <c r="Y64" s="2"/>
      <c r="Z64" s="2"/>
      <c r="AA64" s="2"/>
      <c r="AB64" s="40"/>
    </row>
    <row r="65" spans="2:28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  <c r="U65" s="2"/>
      <c r="V65" s="2"/>
      <c r="W65" s="2"/>
      <c r="X65" s="2"/>
      <c r="Y65" s="2"/>
      <c r="Z65" s="2"/>
      <c r="AA65" s="2"/>
      <c r="AB65" s="41"/>
    </row>
    <row r="66" spans="2:28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  <c r="U66" s="2"/>
      <c r="V66" s="2"/>
      <c r="W66" s="2"/>
      <c r="X66" s="2"/>
      <c r="Y66" s="2"/>
      <c r="Z66" s="2"/>
      <c r="AA66" s="2"/>
      <c r="AB66" s="40"/>
    </row>
    <row r="67" spans="2:28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  <c r="U67" s="2"/>
      <c r="V67" s="2"/>
      <c r="W67" s="2"/>
      <c r="X67" s="2"/>
      <c r="Y67" s="2"/>
      <c r="Z67" s="2"/>
      <c r="AA67" s="2"/>
      <c r="AB67" s="40"/>
    </row>
    <row r="68" spans="2:28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  <c r="U68" s="2"/>
      <c r="V68" s="2"/>
      <c r="W68" s="2"/>
      <c r="X68" s="2"/>
      <c r="Y68" s="2"/>
      <c r="Z68" s="2"/>
      <c r="AA68" s="2"/>
      <c r="AB68" s="40"/>
    </row>
    <row r="69" spans="2:28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  <c r="U69" s="2"/>
      <c r="V69" s="2"/>
      <c r="W69" s="2"/>
      <c r="X69" s="2"/>
      <c r="Y69" s="2"/>
      <c r="Z69" s="2"/>
      <c r="AA69" s="2"/>
      <c r="AB69" s="40"/>
    </row>
    <row r="70" spans="2:28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  <c r="U70" s="2"/>
      <c r="V70" s="2"/>
      <c r="W70" s="2"/>
      <c r="X70" s="2"/>
      <c r="Y70" s="2"/>
      <c r="Z70" s="2"/>
      <c r="AA70" s="2"/>
      <c r="AB70" s="41"/>
    </row>
    <row r="71" spans="2:28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  <c r="U71" s="2"/>
      <c r="V71" s="2"/>
      <c r="W71" s="2"/>
      <c r="X71" s="2"/>
      <c r="Y71" s="2"/>
      <c r="Z71" s="2"/>
      <c r="AA71" s="2"/>
      <c r="AB71" s="41"/>
    </row>
    <row r="72" spans="2:28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  <c r="U72" s="2"/>
      <c r="V72" s="2"/>
      <c r="W72" s="2"/>
      <c r="X72" s="2"/>
      <c r="Y72" s="2"/>
      <c r="Z72" s="2"/>
      <c r="AA72" s="2"/>
      <c r="AB72" s="40"/>
    </row>
    <row r="73" spans="2:28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  <c r="U73" s="2"/>
      <c r="V73" s="2"/>
      <c r="W73" s="2"/>
      <c r="X73" s="2"/>
      <c r="Y73" s="2"/>
      <c r="Z73" s="2"/>
      <c r="AA73" s="2"/>
      <c r="AB73" s="40"/>
    </row>
    <row r="74" spans="2:28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  <c r="U74" s="2"/>
      <c r="V74" s="2"/>
      <c r="W74" s="2"/>
      <c r="X74" s="2"/>
      <c r="Y74" s="2"/>
      <c r="Z74" s="2"/>
      <c r="AA74" s="2"/>
      <c r="AB74" s="41"/>
    </row>
    <row r="75" spans="2:28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  <c r="U75" s="2"/>
      <c r="V75" s="2"/>
      <c r="W75" s="2"/>
      <c r="X75" s="2"/>
      <c r="Y75" s="2"/>
      <c r="Z75" s="2"/>
      <c r="AA75" s="2"/>
      <c r="AB75" s="41"/>
    </row>
    <row r="76" spans="2:28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  <c r="U76" s="2"/>
      <c r="V76" s="2"/>
      <c r="W76" s="2"/>
      <c r="X76" s="2"/>
      <c r="Y76" s="2"/>
      <c r="Z76" s="2"/>
      <c r="AA76" s="2"/>
      <c r="AB76" s="40"/>
    </row>
    <row r="77" spans="2:28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  <c r="U77" s="2"/>
      <c r="V77" s="2"/>
      <c r="W77" s="2"/>
      <c r="X77" s="2"/>
      <c r="Y77" s="2"/>
      <c r="Z77" s="2"/>
      <c r="AA77" s="2"/>
      <c r="AB77" s="41"/>
    </row>
    <row r="78" spans="2:28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  <c r="U78" s="2"/>
      <c r="V78" s="2"/>
      <c r="W78" s="2"/>
      <c r="X78" s="2"/>
      <c r="Y78" s="2"/>
      <c r="Z78" s="2"/>
      <c r="AA78" s="2"/>
      <c r="AB78" s="40"/>
    </row>
    <row r="79" spans="2:28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  <c r="U79" s="2"/>
      <c r="V79" s="2"/>
      <c r="W79" s="2"/>
      <c r="X79" s="2"/>
      <c r="Y79" s="2"/>
      <c r="Z79" s="2"/>
      <c r="AA79" s="2"/>
      <c r="AB79" s="41"/>
    </row>
    <row r="80" spans="2:28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  <c r="U80" s="2"/>
      <c r="V80" s="2"/>
      <c r="W80" s="2"/>
      <c r="X80" s="2"/>
      <c r="Y80" s="2"/>
      <c r="Z80" s="2"/>
      <c r="AA80" s="2"/>
      <c r="AB80" s="40"/>
    </row>
    <row r="81" spans="2:28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  <c r="U81" s="2"/>
      <c r="V81" s="2"/>
      <c r="W81" s="2"/>
      <c r="X81" s="2"/>
      <c r="Y81" s="2"/>
      <c r="Z81" s="2"/>
      <c r="AA81" s="2"/>
      <c r="AB81" s="40"/>
    </row>
    <row r="82" spans="2:28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  <c r="U82" s="2"/>
      <c r="V82" s="2"/>
      <c r="W82" s="2"/>
      <c r="X82" s="2"/>
      <c r="Y82" s="2"/>
      <c r="Z82" s="2"/>
      <c r="AA82" s="2"/>
      <c r="AB82" s="41"/>
    </row>
    <row r="83" spans="2:28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  <c r="U83" s="2"/>
      <c r="V83" s="2"/>
      <c r="W83" s="2"/>
      <c r="X83" s="2"/>
      <c r="Y83" s="2"/>
      <c r="Z83" s="2"/>
      <c r="AA83" s="2"/>
      <c r="AB83" s="41"/>
    </row>
    <row r="84" spans="2:28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  <c r="U84" s="2"/>
      <c r="V84" s="2"/>
      <c r="W84" s="2"/>
      <c r="X84" s="2"/>
      <c r="Y84" s="2"/>
      <c r="Z84" s="2"/>
      <c r="AA84" s="2"/>
      <c r="AB84" s="40"/>
    </row>
    <row r="85" spans="2:28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  <c r="U85" s="2"/>
      <c r="V85" s="2"/>
      <c r="W85" s="2"/>
      <c r="X85" s="2"/>
      <c r="Y85" s="2"/>
      <c r="Z85" s="2"/>
      <c r="AA85" s="2"/>
      <c r="AB85" s="40"/>
    </row>
    <row r="86" spans="2:28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  <c r="U86" s="2"/>
      <c r="V86" s="2"/>
      <c r="W86" s="2"/>
      <c r="X86" s="2"/>
      <c r="Y86" s="2"/>
      <c r="Z86" s="2"/>
      <c r="AA86" s="2"/>
      <c r="AB86" s="41"/>
    </row>
    <row r="87" spans="2:28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  <c r="U87" s="2"/>
      <c r="V87" s="2"/>
      <c r="W87" s="2"/>
      <c r="X87" s="2"/>
      <c r="Y87" s="2"/>
      <c r="Z87" s="2"/>
      <c r="AA87" s="2"/>
      <c r="AB87" s="41"/>
    </row>
    <row r="88" spans="2:28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  <c r="U88" s="2"/>
      <c r="V88" s="2"/>
      <c r="W88" s="2"/>
      <c r="X88" s="2"/>
      <c r="Y88" s="2"/>
      <c r="Z88" s="2"/>
      <c r="AA88" s="2"/>
      <c r="AB88" s="40"/>
    </row>
    <row r="89" spans="2:28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  <c r="U89" s="2"/>
      <c r="V89" s="2"/>
      <c r="W89" s="2"/>
      <c r="X89" s="2"/>
      <c r="Y89" s="2"/>
      <c r="Z89" s="2"/>
      <c r="AA89" s="2"/>
      <c r="AB89" s="41"/>
    </row>
    <row r="90" spans="2:28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  <c r="U90" s="2"/>
      <c r="V90" s="2"/>
      <c r="W90" s="2"/>
      <c r="X90" s="2"/>
      <c r="Y90" s="2"/>
      <c r="Z90" s="2"/>
      <c r="AA90" s="2"/>
      <c r="AB90" s="41"/>
    </row>
    <row r="91" spans="2:28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  <c r="U91" s="2"/>
      <c r="V91" s="2"/>
      <c r="W91" s="2"/>
      <c r="X91" s="2"/>
      <c r="Y91" s="2"/>
      <c r="Z91" s="2"/>
      <c r="AA91" s="2"/>
      <c r="AB91" s="41"/>
    </row>
    <row r="92" spans="2:28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  <c r="U92" s="2"/>
      <c r="V92" s="2"/>
      <c r="W92" s="2"/>
      <c r="X92" s="2"/>
      <c r="Y92" s="2"/>
      <c r="Z92" s="2"/>
      <c r="AA92" s="2"/>
      <c r="AB92" s="41"/>
    </row>
    <row r="93" spans="2:28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  <c r="U93" s="2"/>
      <c r="V93" s="2"/>
      <c r="W93" s="2"/>
      <c r="X93" s="2"/>
      <c r="Y93" s="2"/>
      <c r="Z93" s="2"/>
      <c r="AA93" s="2"/>
      <c r="AB93" s="40"/>
    </row>
    <row r="94" spans="2:28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  <c r="U94" s="2"/>
      <c r="V94" s="2"/>
      <c r="W94" s="2"/>
      <c r="X94" s="2"/>
      <c r="Y94" s="2"/>
      <c r="Z94" s="2"/>
      <c r="AA94" s="2"/>
      <c r="AB94" s="40"/>
    </row>
    <row r="95" spans="2:28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  <c r="U95" s="2"/>
      <c r="V95" s="2"/>
      <c r="W95" s="2"/>
      <c r="X95" s="2"/>
      <c r="Y95" s="2"/>
      <c r="Z95" s="2"/>
      <c r="AA95" s="2"/>
      <c r="AB95" s="40"/>
    </row>
    <row r="96" spans="2:28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  <c r="U96" s="2"/>
      <c r="V96" s="2"/>
      <c r="W96" s="2"/>
      <c r="X96" s="2"/>
      <c r="Y96" s="2"/>
      <c r="Z96" s="2"/>
      <c r="AA96" s="2"/>
      <c r="AB96" s="41"/>
    </row>
    <row r="97" spans="2:28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  <c r="U97" s="2"/>
      <c r="V97" s="2"/>
      <c r="W97" s="2"/>
      <c r="X97" s="2"/>
      <c r="Y97" s="2"/>
      <c r="Z97" s="2"/>
      <c r="AA97" s="2"/>
      <c r="AB97" s="40"/>
    </row>
    <row r="98" spans="2:28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  <c r="U98" s="2"/>
      <c r="V98" s="2"/>
      <c r="W98" s="2"/>
      <c r="X98" s="2"/>
      <c r="Y98" s="2"/>
      <c r="Z98" s="2"/>
      <c r="AA98" s="2"/>
      <c r="AB98" s="41"/>
    </row>
    <row r="99" spans="2:28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  <c r="U99" s="2"/>
      <c r="V99" s="2"/>
      <c r="W99" s="2"/>
      <c r="X99" s="2"/>
      <c r="Y99" s="2"/>
      <c r="Z99" s="2"/>
      <c r="AA99" s="2"/>
      <c r="AB99" s="41"/>
    </row>
    <row r="100" spans="2:28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  <c r="U100" s="2"/>
      <c r="V100" s="2"/>
      <c r="W100" s="2"/>
      <c r="X100" s="2"/>
      <c r="Y100" s="2"/>
      <c r="Z100" s="2"/>
      <c r="AA100" s="2"/>
      <c r="AB100" s="41"/>
    </row>
    <row r="101" spans="2:28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  <c r="U101" s="2"/>
      <c r="V101" s="2"/>
      <c r="W101" s="2"/>
      <c r="X101" s="2"/>
      <c r="Y101" s="2"/>
      <c r="Z101" s="2"/>
      <c r="AA101" s="2"/>
      <c r="AB101" s="41"/>
    </row>
    <row r="102" spans="2:28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  <c r="U102" s="2"/>
      <c r="V102" s="2"/>
      <c r="W102" s="2"/>
      <c r="X102" s="2"/>
      <c r="Y102" s="2"/>
      <c r="Z102" s="2"/>
      <c r="AA102" s="2"/>
      <c r="AB102" s="41"/>
    </row>
    <row r="103" spans="2:28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  <c r="U103" s="2"/>
      <c r="V103" s="2"/>
      <c r="W103" s="2"/>
      <c r="X103" s="2"/>
      <c r="Y103" s="2"/>
      <c r="Z103" s="2"/>
      <c r="AA103" s="2"/>
      <c r="AB103" s="41"/>
    </row>
    <row r="104" spans="2:28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  <c r="U104" s="2"/>
      <c r="V104" s="2"/>
      <c r="W104" s="2"/>
      <c r="X104" s="2"/>
      <c r="Y104" s="2"/>
      <c r="Z104" s="2"/>
      <c r="AA104" s="2"/>
      <c r="AB104" s="40"/>
    </row>
    <row r="105" spans="2:28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  <c r="U105" s="2"/>
      <c r="V105" s="2"/>
      <c r="W105" s="2"/>
      <c r="X105" s="2"/>
      <c r="Y105" s="2"/>
      <c r="Z105" s="2"/>
      <c r="AA105" s="2"/>
      <c r="AB105" s="41"/>
    </row>
    <row r="106" spans="2:28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  <c r="U106" s="2"/>
      <c r="V106" s="2"/>
      <c r="W106" s="2"/>
      <c r="X106" s="2"/>
      <c r="Y106" s="2"/>
      <c r="Z106" s="2"/>
      <c r="AA106" s="2"/>
      <c r="AB106" s="40"/>
    </row>
    <row r="107" spans="2:28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  <c r="U107" s="2"/>
      <c r="V107" s="2"/>
      <c r="W107" s="2"/>
      <c r="X107" s="2"/>
      <c r="Y107" s="2"/>
      <c r="Z107" s="2"/>
      <c r="AA107" s="2"/>
      <c r="AB107" s="40"/>
    </row>
    <row r="108" spans="2:28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  <c r="U108" s="2"/>
      <c r="V108" s="2"/>
      <c r="W108" s="2"/>
      <c r="X108" s="2"/>
      <c r="Y108" s="2"/>
      <c r="Z108" s="2"/>
      <c r="AA108" s="2"/>
      <c r="AB108" s="41"/>
    </row>
    <row r="109" spans="2:28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  <c r="U109" s="2"/>
      <c r="V109" s="2"/>
      <c r="W109" s="2"/>
      <c r="X109" s="2"/>
      <c r="Y109" s="2"/>
      <c r="Z109" s="2"/>
      <c r="AA109" s="2"/>
      <c r="AB109" s="40"/>
    </row>
    <row r="110" spans="2:28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  <c r="U110" s="2"/>
      <c r="V110" s="2"/>
      <c r="W110" s="2"/>
      <c r="X110" s="2"/>
      <c r="Y110" s="2"/>
      <c r="Z110" s="2"/>
      <c r="AA110" s="2"/>
      <c r="AB110" s="41"/>
    </row>
    <row r="111" spans="2:28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  <c r="U111" s="2"/>
      <c r="V111" s="2"/>
      <c r="W111" s="2"/>
      <c r="X111" s="2"/>
      <c r="Y111" s="2"/>
      <c r="Z111" s="2"/>
      <c r="AA111" s="2"/>
      <c r="AB111" s="40"/>
    </row>
    <row r="112" spans="2:28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  <c r="U112" s="2"/>
      <c r="V112" s="2"/>
      <c r="W112" s="2"/>
      <c r="X112" s="2"/>
      <c r="Y112" s="2"/>
      <c r="Z112" s="2"/>
      <c r="AA112" s="2"/>
      <c r="AB112" s="40"/>
    </row>
    <row r="113" spans="2:28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  <c r="U113" s="2"/>
      <c r="V113" s="2"/>
      <c r="W113" s="2"/>
      <c r="X113" s="2"/>
      <c r="Y113" s="2"/>
      <c r="Z113" s="2"/>
      <c r="AA113" s="2"/>
      <c r="AB113" s="40"/>
    </row>
    <row r="114" spans="2:28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  <c r="U114" s="2"/>
      <c r="V114" s="2"/>
      <c r="W114" s="2"/>
      <c r="X114" s="2"/>
      <c r="Y114" s="2"/>
      <c r="Z114" s="2"/>
      <c r="AA114" s="2"/>
      <c r="AB114" s="40"/>
    </row>
    <row r="115" spans="2:28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  <c r="U115" s="2"/>
      <c r="V115" s="2"/>
      <c r="W115" s="2"/>
      <c r="X115" s="2"/>
      <c r="Y115" s="2"/>
      <c r="Z115" s="2"/>
      <c r="AA115" s="2"/>
      <c r="AB115" s="40"/>
    </row>
    <row r="116" spans="2:28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  <c r="U116" s="2"/>
      <c r="V116" s="2"/>
      <c r="W116" s="2"/>
      <c r="X116" s="2"/>
      <c r="Y116" s="2"/>
      <c r="Z116" s="2"/>
      <c r="AA116" s="2"/>
      <c r="AB116" s="41"/>
    </row>
    <row r="117" spans="2:28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  <c r="U117" s="2"/>
      <c r="V117" s="2"/>
      <c r="W117" s="2"/>
      <c r="X117" s="2"/>
      <c r="Y117" s="2"/>
      <c r="Z117" s="2"/>
      <c r="AA117" s="2"/>
      <c r="AB117" s="41"/>
    </row>
    <row r="118" spans="2:28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  <c r="U118" s="2"/>
      <c r="V118" s="2"/>
      <c r="W118" s="2"/>
      <c r="X118" s="2"/>
      <c r="Y118" s="2"/>
      <c r="Z118" s="2"/>
      <c r="AA118" s="2"/>
      <c r="AB118" s="41"/>
    </row>
    <row r="119" spans="2:28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  <c r="U119" s="2"/>
      <c r="V119" s="2"/>
      <c r="W119" s="2"/>
      <c r="X119" s="2"/>
      <c r="Y119" s="2"/>
      <c r="Z119" s="2"/>
      <c r="AA119" s="2"/>
      <c r="AB119" s="41"/>
    </row>
    <row r="120" spans="2:28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  <c r="U120" s="2"/>
      <c r="V120" s="2"/>
      <c r="W120" s="2"/>
      <c r="X120" s="2"/>
      <c r="Y120" s="2"/>
      <c r="Z120" s="2"/>
      <c r="AA120" s="2"/>
      <c r="AB120" s="41"/>
    </row>
    <row r="121" spans="2:28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  <c r="U121" s="2"/>
      <c r="V121" s="2"/>
      <c r="W121" s="2"/>
      <c r="X121" s="2"/>
      <c r="Y121" s="2"/>
      <c r="Z121" s="2"/>
      <c r="AA121" s="2"/>
      <c r="AB121" s="41"/>
    </row>
    <row r="122" spans="2:28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  <c r="U122" s="2"/>
      <c r="V122" s="2"/>
      <c r="W122" s="2"/>
      <c r="X122" s="2"/>
      <c r="Y122" s="2"/>
      <c r="Z122" s="2"/>
      <c r="AA122" s="2"/>
      <c r="AB122" s="41"/>
    </row>
    <row r="123" spans="2:28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  <c r="U123" s="2"/>
      <c r="V123" s="2"/>
      <c r="W123" s="2"/>
      <c r="X123" s="2"/>
      <c r="Y123" s="2"/>
      <c r="Z123" s="2"/>
      <c r="AA123" s="2"/>
      <c r="AB123" s="41"/>
    </row>
    <row r="124" spans="2:28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  <c r="U124" s="2"/>
      <c r="V124" s="2"/>
      <c r="W124" s="2"/>
      <c r="X124" s="2"/>
      <c r="Y124" s="2"/>
      <c r="Z124" s="2"/>
      <c r="AA124" s="2"/>
      <c r="AB124" s="41"/>
    </row>
    <row r="125" spans="2:28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  <c r="U125" s="2"/>
      <c r="V125" s="2"/>
      <c r="W125" s="2"/>
      <c r="X125" s="2"/>
      <c r="Y125" s="2"/>
      <c r="Z125" s="2"/>
      <c r="AA125" s="2"/>
      <c r="AB125" s="40"/>
    </row>
    <row r="126" spans="2:28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  <c r="U126" s="2"/>
      <c r="V126" s="2"/>
      <c r="W126" s="2"/>
      <c r="X126" s="2"/>
      <c r="Y126" s="2"/>
      <c r="Z126" s="2"/>
      <c r="AA126" s="2"/>
      <c r="AB126" s="41"/>
    </row>
    <row r="127" spans="2:28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  <c r="U127" s="2"/>
      <c r="V127" s="2"/>
      <c r="W127" s="2"/>
      <c r="X127" s="2"/>
      <c r="Y127" s="2"/>
      <c r="Z127" s="2"/>
      <c r="AA127" s="2"/>
      <c r="AB127" s="40"/>
    </row>
    <row r="128" spans="2:28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  <c r="U128" s="2"/>
      <c r="V128" s="2"/>
      <c r="W128" s="2"/>
      <c r="X128" s="2"/>
      <c r="Y128" s="2"/>
      <c r="Z128" s="2"/>
      <c r="AA128" s="2"/>
      <c r="AB128" s="41"/>
    </row>
    <row r="129" spans="2:28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  <c r="U129" s="2"/>
      <c r="V129" s="2"/>
      <c r="W129" s="2"/>
      <c r="X129" s="2"/>
      <c r="Y129" s="2"/>
      <c r="Z129" s="2"/>
      <c r="AA129" s="2"/>
      <c r="AB129" s="41"/>
    </row>
    <row r="130" spans="2:28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  <c r="U130" s="2"/>
      <c r="V130" s="2"/>
      <c r="W130" s="2"/>
      <c r="X130" s="2"/>
      <c r="Y130" s="2"/>
      <c r="Z130" s="2"/>
      <c r="AA130" s="2"/>
      <c r="AB130" s="41"/>
    </row>
    <row r="131" spans="2:28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  <c r="U131" s="2"/>
      <c r="V131" s="2"/>
      <c r="W131" s="2"/>
      <c r="X131" s="2"/>
      <c r="Y131" s="2"/>
      <c r="Z131" s="2"/>
      <c r="AA131" s="2"/>
      <c r="AB131" s="40"/>
    </row>
    <row r="132" spans="2:28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  <c r="U132" s="2"/>
      <c r="V132" s="2"/>
      <c r="W132" s="2"/>
      <c r="X132" s="2"/>
      <c r="Y132" s="2"/>
      <c r="Z132" s="2"/>
      <c r="AA132" s="2"/>
      <c r="AB132" s="40"/>
    </row>
    <row r="133" spans="2:28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  <c r="U133" s="2"/>
      <c r="V133" s="2"/>
      <c r="W133" s="2"/>
      <c r="X133" s="2"/>
      <c r="Y133" s="2"/>
      <c r="Z133" s="2"/>
      <c r="AA133" s="2"/>
      <c r="AB133" s="41"/>
    </row>
    <row r="134" spans="2:28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  <c r="U134" s="2"/>
      <c r="V134" s="2"/>
      <c r="W134" s="2"/>
      <c r="X134" s="2"/>
      <c r="Y134" s="2"/>
      <c r="Z134" s="2"/>
      <c r="AA134" s="2"/>
      <c r="AB134" s="41"/>
    </row>
    <row r="135" spans="2:28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  <c r="U135" s="2"/>
      <c r="V135" s="2"/>
      <c r="W135" s="2"/>
      <c r="X135" s="2"/>
      <c r="Y135" s="2"/>
      <c r="Z135" s="2"/>
      <c r="AA135" s="2"/>
      <c r="AB135" s="40"/>
    </row>
    <row r="136" spans="2:28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  <c r="U136" s="2"/>
      <c r="V136" s="2"/>
      <c r="W136" s="2"/>
      <c r="X136" s="2"/>
      <c r="Y136" s="2"/>
      <c r="Z136" s="2"/>
      <c r="AA136" s="2"/>
      <c r="AB136" s="41"/>
    </row>
    <row r="137" spans="2:28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  <c r="U137" s="2"/>
      <c r="V137" s="2"/>
      <c r="W137" s="2"/>
      <c r="X137" s="2"/>
      <c r="Y137" s="2"/>
      <c r="Z137" s="2"/>
      <c r="AA137" s="2"/>
      <c r="AB137" s="41"/>
    </row>
    <row r="138" spans="2:28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  <c r="U138" s="2"/>
      <c r="V138" s="2"/>
      <c r="W138" s="2"/>
      <c r="X138" s="2"/>
      <c r="Y138" s="2"/>
      <c r="Z138" s="2"/>
      <c r="AA138" s="2"/>
      <c r="AB138" s="40"/>
    </row>
    <row r="139" spans="2:28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  <c r="U139" s="2"/>
      <c r="V139" s="2"/>
      <c r="W139" s="2"/>
      <c r="X139" s="2"/>
      <c r="Y139" s="2"/>
      <c r="Z139" s="2"/>
      <c r="AA139" s="2"/>
      <c r="AB139" s="40"/>
    </row>
    <row r="140" spans="2:28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  <c r="U140" s="2"/>
      <c r="V140" s="2"/>
      <c r="W140" s="2"/>
      <c r="X140" s="2"/>
      <c r="Y140" s="2"/>
      <c r="Z140" s="2"/>
      <c r="AA140" s="2"/>
      <c r="AB140" s="40"/>
    </row>
    <row r="141" spans="2:28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  <c r="U141" s="2"/>
      <c r="V141" s="2"/>
      <c r="W141" s="2"/>
      <c r="X141" s="2"/>
      <c r="Y141" s="2"/>
      <c r="Z141" s="2"/>
      <c r="AA141" s="2"/>
      <c r="AB141" s="40"/>
    </row>
    <row r="142" spans="2:28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  <c r="U142" s="2"/>
      <c r="V142" s="2"/>
      <c r="W142" s="2"/>
      <c r="X142" s="2"/>
      <c r="Y142" s="2"/>
      <c r="Z142" s="2"/>
      <c r="AA142" s="2"/>
      <c r="AB142" s="41"/>
    </row>
    <row r="143" spans="2:28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  <c r="U143" s="2"/>
      <c r="V143" s="2"/>
      <c r="W143" s="2"/>
      <c r="X143" s="2"/>
      <c r="Y143" s="2"/>
      <c r="Z143" s="2"/>
      <c r="AA143" s="2"/>
      <c r="AB143" s="40"/>
    </row>
    <row r="144" spans="2:28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  <c r="U144" s="2"/>
      <c r="V144" s="2"/>
      <c r="W144" s="2"/>
      <c r="X144" s="2"/>
      <c r="Y144" s="2"/>
      <c r="Z144" s="2"/>
      <c r="AA144" s="2"/>
      <c r="AB144" s="41"/>
    </row>
    <row r="145" spans="2:28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  <c r="U145" s="2"/>
      <c r="V145" s="2"/>
      <c r="W145" s="2"/>
      <c r="X145" s="2"/>
      <c r="Y145" s="2"/>
      <c r="Z145" s="2"/>
      <c r="AA145" s="2"/>
      <c r="AB145" s="41"/>
    </row>
    <row r="146" spans="2:28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  <c r="U146" s="2"/>
      <c r="V146" s="2"/>
      <c r="W146" s="2"/>
      <c r="X146" s="2"/>
      <c r="Y146" s="2"/>
      <c r="Z146" s="2"/>
      <c r="AA146" s="2"/>
      <c r="AB146" s="41"/>
    </row>
    <row r="147" spans="2:28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  <c r="U147" s="2"/>
      <c r="V147" s="2"/>
      <c r="W147" s="2"/>
      <c r="X147" s="2"/>
      <c r="Y147" s="2"/>
      <c r="Z147" s="2"/>
      <c r="AA147" s="2"/>
      <c r="AB147" s="41"/>
    </row>
    <row r="148" spans="2:28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  <c r="U148" s="2"/>
      <c r="V148" s="2"/>
      <c r="W148" s="2"/>
      <c r="X148" s="2"/>
      <c r="Y148" s="2"/>
      <c r="Z148" s="2"/>
      <c r="AA148" s="2"/>
      <c r="AB148" s="41"/>
    </row>
    <row r="149" spans="2:28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  <c r="U149" s="2"/>
      <c r="V149" s="2"/>
      <c r="W149" s="2"/>
      <c r="X149" s="2"/>
      <c r="Y149" s="2"/>
      <c r="Z149" s="2"/>
      <c r="AA149" s="2"/>
      <c r="AB149" s="41"/>
    </row>
    <row r="150" spans="2:28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  <c r="U150" s="2"/>
      <c r="V150" s="2"/>
      <c r="W150" s="2"/>
      <c r="X150" s="2"/>
      <c r="Y150" s="2"/>
      <c r="Z150" s="2"/>
      <c r="AA150" s="2"/>
      <c r="AB150" s="41"/>
    </row>
    <row r="151" spans="2:28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  <c r="U151" s="2"/>
      <c r="V151" s="2"/>
      <c r="W151" s="2"/>
      <c r="X151" s="2"/>
      <c r="Y151" s="2"/>
      <c r="Z151" s="2"/>
      <c r="AA151" s="2"/>
      <c r="AB151" s="41"/>
    </row>
    <row r="152" spans="2:28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  <c r="U152" s="2"/>
      <c r="V152" s="2"/>
      <c r="W152" s="2"/>
      <c r="X152" s="2"/>
      <c r="Y152" s="2"/>
      <c r="Z152" s="2"/>
      <c r="AA152" s="2"/>
      <c r="AB152" s="41"/>
    </row>
    <row r="153" spans="2:28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  <c r="U153" s="2"/>
      <c r="V153" s="2"/>
      <c r="W153" s="2"/>
      <c r="X153" s="2"/>
      <c r="Y153" s="2"/>
      <c r="Z153" s="2"/>
      <c r="AA153" s="2"/>
      <c r="AB153" s="41"/>
    </row>
    <row r="154" spans="2:28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  <c r="U154" s="2"/>
      <c r="V154" s="2"/>
      <c r="W154" s="2"/>
      <c r="X154" s="2"/>
      <c r="Y154" s="2"/>
      <c r="Z154" s="2"/>
      <c r="AA154" s="2"/>
      <c r="AB154" s="41"/>
    </row>
    <row r="155" spans="2:28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  <c r="U155" s="2"/>
      <c r="V155" s="2"/>
      <c r="W155" s="2"/>
      <c r="X155" s="2"/>
      <c r="Y155" s="2"/>
      <c r="Z155" s="2"/>
      <c r="AA155" s="2"/>
      <c r="AB155" s="41"/>
    </row>
    <row r="156" spans="2:28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  <c r="U156" s="2"/>
      <c r="V156" s="2"/>
      <c r="W156" s="2"/>
      <c r="X156" s="2"/>
      <c r="Y156" s="2"/>
      <c r="Z156" s="2"/>
      <c r="AA156" s="2"/>
      <c r="AB156" s="41"/>
    </row>
    <row r="157" spans="2:28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  <c r="U157" s="2"/>
      <c r="V157" s="2"/>
      <c r="W157" s="2"/>
      <c r="X157" s="2"/>
      <c r="Y157" s="2"/>
      <c r="Z157" s="2"/>
      <c r="AA157" s="2"/>
      <c r="AB157" s="41"/>
    </row>
    <row r="158" spans="2:28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  <c r="U158" s="2"/>
      <c r="V158" s="2"/>
      <c r="W158" s="2"/>
      <c r="X158" s="2"/>
      <c r="Y158" s="2"/>
      <c r="Z158" s="2"/>
      <c r="AA158" s="2"/>
      <c r="AB158" s="41"/>
    </row>
    <row r="159" spans="2:28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  <c r="U159" s="2"/>
      <c r="V159" s="2"/>
      <c r="W159" s="2"/>
      <c r="X159" s="2"/>
      <c r="Y159" s="2"/>
      <c r="Z159" s="2"/>
      <c r="AA159" s="2"/>
      <c r="AB159" s="41"/>
    </row>
    <row r="160" spans="2:28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  <c r="U160" s="2"/>
      <c r="V160" s="2"/>
      <c r="W160" s="2"/>
      <c r="X160" s="2"/>
      <c r="Y160" s="2"/>
      <c r="Z160" s="2"/>
      <c r="AA160" s="2"/>
      <c r="AB160" s="41"/>
    </row>
    <row r="161" spans="2:28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  <c r="U161" s="2"/>
      <c r="V161" s="2"/>
      <c r="W161" s="2"/>
      <c r="X161" s="2"/>
      <c r="Y161" s="2"/>
      <c r="Z161" s="2"/>
      <c r="AA161" s="2"/>
      <c r="AB161" s="41"/>
    </row>
    <row r="162" spans="2:28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  <c r="U162" s="2"/>
      <c r="V162" s="2"/>
      <c r="W162" s="2"/>
      <c r="X162" s="2"/>
      <c r="Y162" s="2"/>
      <c r="Z162" s="2"/>
      <c r="AA162" s="2"/>
      <c r="AB162" s="41"/>
    </row>
    <row r="163" spans="2:28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  <c r="U163" s="2"/>
      <c r="V163" s="2"/>
      <c r="W163" s="2"/>
      <c r="X163" s="2"/>
      <c r="Y163" s="2"/>
      <c r="Z163" s="2"/>
      <c r="AA163" s="2"/>
      <c r="AB163" s="41"/>
    </row>
    <row r="164" spans="2:28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  <c r="U164" s="2"/>
      <c r="V164" s="2"/>
      <c r="W164" s="2"/>
      <c r="X164" s="2"/>
      <c r="Y164" s="2"/>
      <c r="Z164" s="2"/>
      <c r="AA164" s="2"/>
      <c r="AB164" s="41"/>
    </row>
    <row r="165" spans="2:28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  <c r="U165" s="2"/>
      <c r="V165" s="2"/>
      <c r="W165" s="2"/>
      <c r="X165" s="2"/>
      <c r="Y165" s="2"/>
      <c r="Z165" s="2"/>
      <c r="AA165" s="2"/>
      <c r="AB165" s="41"/>
    </row>
    <row r="166" spans="2:28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  <c r="U166" s="2"/>
      <c r="V166" s="2"/>
      <c r="W166" s="2"/>
      <c r="X166" s="2"/>
      <c r="Y166" s="2"/>
      <c r="Z166" s="2"/>
      <c r="AA166" s="2"/>
      <c r="AB166" s="41"/>
    </row>
    <row r="167" spans="2:28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  <c r="U167" s="2"/>
      <c r="V167" s="2"/>
      <c r="W167" s="2"/>
      <c r="X167" s="2"/>
      <c r="Y167" s="2"/>
      <c r="Z167" s="2"/>
      <c r="AA167" s="2"/>
      <c r="AB167" s="41"/>
    </row>
    <row r="168" spans="2:28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  <c r="U168" s="2"/>
      <c r="V168" s="2"/>
      <c r="W168" s="2"/>
      <c r="X168" s="2"/>
      <c r="Y168" s="2"/>
      <c r="Z168" s="2"/>
      <c r="AA168" s="2"/>
      <c r="AB168" s="41"/>
    </row>
    <row r="169" spans="2:28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  <c r="U169" s="2"/>
      <c r="V169" s="2"/>
      <c r="W169" s="2"/>
      <c r="X169" s="2"/>
      <c r="Y169" s="2"/>
      <c r="Z169" s="2"/>
      <c r="AA169" s="2"/>
      <c r="AB169" s="41"/>
    </row>
    <row r="170" spans="2:28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  <c r="U170" s="2"/>
      <c r="V170" s="2"/>
      <c r="W170" s="2"/>
      <c r="X170" s="2"/>
      <c r="Y170" s="2"/>
      <c r="Z170" s="2"/>
      <c r="AA170" s="2"/>
      <c r="AB170" s="41"/>
    </row>
    <row r="171" spans="2:28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  <c r="U171" s="2"/>
      <c r="V171" s="2"/>
      <c r="W171" s="2"/>
      <c r="X171" s="2"/>
      <c r="Y171" s="2"/>
      <c r="Z171" s="2"/>
      <c r="AA171" s="2"/>
      <c r="AB171" s="40"/>
    </row>
    <row r="172" spans="2:28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  <c r="U172" s="2"/>
      <c r="V172" s="2"/>
      <c r="W172" s="2"/>
      <c r="X172" s="2"/>
      <c r="Y172" s="2"/>
      <c r="Z172" s="2"/>
      <c r="AA172" s="2"/>
      <c r="AB172" s="41"/>
    </row>
    <row r="173" spans="2:28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  <c r="U173" s="2"/>
      <c r="V173" s="2"/>
      <c r="W173" s="2"/>
      <c r="X173" s="2"/>
      <c r="Y173" s="2"/>
      <c r="Z173" s="2"/>
      <c r="AA173" s="2"/>
      <c r="AB173" s="41"/>
    </row>
    <row r="174" spans="2:28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  <c r="U174" s="2"/>
      <c r="V174" s="2"/>
      <c r="W174" s="2"/>
      <c r="X174" s="2"/>
      <c r="Y174" s="2"/>
      <c r="Z174" s="2"/>
      <c r="AA174" s="2"/>
      <c r="AB174" s="40"/>
    </row>
    <row r="175" spans="2:28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  <c r="U175" s="2"/>
      <c r="V175" s="2"/>
      <c r="W175" s="2"/>
      <c r="X175" s="2"/>
      <c r="Y175" s="2"/>
      <c r="Z175" s="2"/>
      <c r="AA175" s="2"/>
      <c r="AB175" s="40"/>
    </row>
    <row r="176" spans="2:28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  <c r="U176" s="2"/>
      <c r="V176" s="2"/>
      <c r="W176" s="2"/>
      <c r="X176" s="2"/>
      <c r="Y176" s="2"/>
      <c r="Z176" s="2"/>
      <c r="AA176" s="2"/>
      <c r="AB176" s="40"/>
    </row>
    <row r="177" spans="2:28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  <c r="U177" s="2"/>
      <c r="V177" s="2"/>
      <c r="W177" s="2"/>
      <c r="X177" s="2"/>
      <c r="Y177" s="2"/>
      <c r="Z177" s="2"/>
      <c r="AA177" s="2"/>
      <c r="AB177" s="40"/>
    </row>
    <row r="178" spans="2:28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  <c r="U178" s="2"/>
      <c r="V178" s="2"/>
      <c r="W178" s="2"/>
      <c r="X178" s="2"/>
      <c r="Y178" s="2"/>
      <c r="Z178" s="2"/>
      <c r="AA178" s="2"/>
      <c r="AB178" s="41"/>
    </row>
    <row r="179" spans="2:28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  <c r="U179" s="2"/>
      <c r="V179" s="2"/>
      <c r="W179" s="2"/>
      <c r="X179" s="2"/>
      <c r="Y179" s="2"/>
      <c r="Z179" s="2"/>
      <c r="AA179" s="2"/>
      <c r="AB179" s="40"/>
    </row>
    <row r="180" spans="2:28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  <c r="U180" s="2"/>
      <c r="V180" s="2"/>
      <c r="W180" s="2"/>
      <c r="X180" s="2"/>
      <c r="Y180" s="2"/>
      <c r="Z180" s="2"/>
      <c r="AA180" s="2"/>
      <c r="AB180" s="40"/>
    </row>
    <row r="181" spans="2:28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  <c r="U181" s="2"/>
      <c r="V181" s="2"/>
      <c r="W181" s="2"/>
      <c r="X181" s="2"/>
      <c r="Y181" s="2"/>
      <c r="Z181" s="2"/>
      <c r="AA181" s="2"/>
      <c r="AB181" s="41"/>
    </row>
    <row r="182" spans="2:28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  <c r="U182" s="2"/>
      <c r="V182" s="2"/>
      <c r="W182" s="2"/>
      <c r="X182" s="2"/>
      <c r="Y182" s="2"/>
      <c r="Z182" s="2"/>
      <c r="AA182" s="2"/>
      <c r="AB182" s="40"/>
    </row>
    <row r="183" spans="2:28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  <c r="U183" s="2"/>
      <c r="V183" s="2"/>
      <c r="W183" s="2"/>
      <c r="X183" s="2"/>
      <c r="Y183" s="2"/>
      <c r="Z183" s="2"/>
      <c r="AA183" s="2"/>
      <c r="AB183" s="41"/>
    </row>
    <row r="184" spans="2:28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  <c r="U184" s="2"/>
      <c r="V184" s="2"/>
      <c r="W184" s="2"/>
      <c r="X184" s="2"/>
      <c r="Y184" s="2"/>
      <c r="Z184" s="2"/>
      <c r="AA184" s="2"/>
      <c r="AB184" s="41"/>
    </row>
    <row r="185" spans="2:28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  <c r="U185" s="2"/>
      <c r="V185" s="2"/>
      <c r="W185" s="2"/>
      <c r="X185" s="2"/>
      <c r="Y185" s="2"/>
      <c r="Z185" s="2"/>
      <c r="AA185" s="2"/>
      <c r="AB185" s="40"/>
    </row>
    <row r="186" spans="2:28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  <c r="U186" s="2"/>
      <c r="V186" s="2"/>
      <c r="W186" s="2"/>
      <c r="X186" s="2"/>
      <c r="Y186" s="2"/>
      <c r="Z186" s="2"/>
      <c r="AA186" s="2"/>
      <c r="AB186" s="40"/>
    </row>
    <row r="187" spans="2:28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  <c r="U187" s="2"/>
      <c r="V187" s="2"/>
      <c r="W187" s="2"/>
      <c r="X187" s="2"/>
      <c r="Y187" s="2"/>
      <c r="Z187" s="2"/>
      <c r="AA187" s="2"/>
      <c r="AB187" s="40"/>
    </row>
    <row r="188" spans="2:28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  <c r="U188" s="2"/>
      <c r="V188" s="2"/>
      <c r="W188" s="2"/>
      <c r="X188" s="2"/>
      <c r="Y188" s="2"/>
      <c r="Z188" s="2"/>
      <c r="AA188" s="2"/>
      <c r="AB188" s="40"/>
    </row>
    <row r="189" spans="2:28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  <c r="U189" s="2"/>
      <c r="V189" s="2"/>
      <c r="W189" s="2"/>
      <c r="X189" s="2"/>
      <c r="Y189" s="2"/>
      <c r="Z189" s="2"/>
      <c r="AA189" s="2"/>
      <c r="AB189" s="41"/>
    </row>
    <row r="190" spans="2:28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  <c r="U190" s="2"/>
      <c r="V190" s="2"/>
      <c r="W190" s="2"/>
      <c r="X190" s="2"/>
      <c r="Y190" s="2"/>
      <c r="Z190" s="2"/>
      <c r="AA190" s="2"/>
      <c r="AB190" s="41"/>
    </row>
    <row r="191" spans="2:28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  <c r="U191" s="2"/>
      <c r="V191" s="2"/>
      <c r="W191" s="2"/>
      <c r="X191" s="2"/>
      <c r="Y191" s="2"/>
      <c r="Z191" s="2"/>
      <c r="AA191" s="2"/>
      <c r="AB191" s="41"/>
    </row>
    <row r="192" spans="2:28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  <c r="U192" s="2"/>
      <c r="V192" s="2"/>
      <c r="W192" s="2"/>
      <c r="X192" s="2"/>
      <c r="Y192" s="2"/>
      <c r="Z192" s="2"/>
      <c r="AA192" s="2"/>
      <c r="AB192" s="41"/>
    </row>
    <row r="193" spans="2:28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  <c r="U193" s="2"/>
      <c r="V193" s="2"/>
      <c r="W193" s="2"/>
      <c r="X193" s="2"/>
      <c r="Y193" s="2"/>
      <c r="Z193" s="2"/>
      <c r="AA193" s="2"/>
      <c r="AB193" s="40"/>
    </row>
    <row r="194" spans="2:28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  <c r="U194" s="2"/>
      <c r="V194" s="2"/>
      <c r="W194" s="2"/>
      <c r="X194" s="2"/>
      <c r="Y194" s="2"/>
      <c r="Z194" s="2"/>
      <c r="AA194" s="2"/>
      <c r="AB194" s="40"/>
    </row>
    <row r="195" spans="2:28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  <c r="U195" s="2"/>
      <c r="V195" s="2"/>
      <c r="W195" s="2"/>
      <c r="X195" s="2"/>
      <c r="Y195" s="2"/>
      <c r="Z195" s="2"/>
      <c r="AA195" s="2"/>
      <c r="AB195" s="40"/>
    </row>
    <row r="196" spans="2:28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  <c r="U196" s="2"/>
      <c r="V196" s="2"/>
      <c r="W196" s="2"/>
      <c r="X196" s="2"/>
      <c r="Y196" s="2"/>
      <c r="Z196" s="2"/>
      <c r="AA196" s="2"/>
      <c r="AB196" s="41"/>
    </row>
    <row r="197" spans="2:28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  <c r="U197" s="2"/>
      <c r="V197" s="2"/>
      <c r="W197" s="2"/>
      <c r="X197" s="2"/>
      <c r="Y197" s="2"/>
      <c r="Z197" s="2"/>
      <c r="AA197" s="2"/>
      <c r="AB197" s="40"/>
    </row>
    <row r="198" spans="2:28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  <c r="U198" s="2"/>
      <c r="V198" s="2"/>
      <c r="W198" s="2"/>
      <c r="X198" s="2"/>
      <c r="Y198" s="2"/>
      <c r="Z198" s="2"/>
      <c r="AA198" s="2"/>
      <c r="AB198" s="40"/>
    </row>
    <row r="199" spans="2:28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  <c r="U199" s="2"/>
      <c r="V199" s="2"/>
      <c r="W199" s="2"/>
      <c r="X199" s="2"/>
      <c r="Y199" s="2"/>
      <c r="Z199" s="2"/>
      <c r="AA199" s="2"/>
      <c r="AB199" s="40"/>
    </row>
    <row r="200" spans="2:28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  <c r="U200" s="2"/>
      <c r="V200" s="2"/>
      <c r="W200" s="2"/>
      <c r="X200" s="2"/>
      <c r="Y200" s="2"/>
      <c r="Z200" s="2"/>
      <c r="AA200" s="2"/>
      <c r="AB200" s="41"/>
    </row>
    <row r="201" spans="2:28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  <c r="U201" s="2"/>
      <c r="V201" s="2"/>
      <c r="W201" s="2"/>
      <c r="X201" s="2"/>
      <c r="Y201" s="2"/>
      <c r="Z201" s="2"/>
      <c r="AA201" s="2"/>
      <c r="AB201" s="40"/>
    </row>
    <row r="202" spans="2:28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  <c r="U202" s="2"/>
      <c r="V202" s="2"/>
      <c r="W202" s="2"/>
      <c r="X202" s="2"/>
      <c r="Y202" s="2"/>
      <c r="Z202" s="2"/>
      <c r="AA202" s="2"/>
      <c r="AB202" s="40"/>
    </row>
    <row r="203" spans="2:28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  <c r="U203" s="2"/>
      <c r="V203" s="2"/>
      <c r="W203" s="2"/>
      <c r="X203" s="2"/>
      <c r="Y203" s="2"/>
      <c r="Z203" s="2"/>
      <c r="AA203" s="2"/>
      <c r="AB203" s="40"/>
    </row>
    <row r="204" spans="2:28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  <c r="U204" s="2"/>
      <c r="V204" s="2"/>
      <c r="W204" s="2"/>
      <c r="X204" s="2"/>
      <c r="Y204" s="2"/>
      <c r="Z204" s="2"/>
      <c r="AA204" s="2"/>
      <c r="AB204" s="40"/>
    </row>
    <row r="205" spans="2:28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  <c r="U205" s="2"/>
      <c r="V205" s="2"/>
      <c r="W205" s="2"/>
      <c r="X205" s="2"/>
      <c r="Y205" s="2"/>
      <c r="Z205" s="2"/>
      <c r="AA205" s="2"/>
      <c r="AB205" s="41"/>
    </row>
    <row r="206" spans="2:28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  <c r="U206" s="2"/>
      <c r="V206" s="2"/>
      <c r="W206" s="2"/>
      <c r="X206" s="2"/>
      <c r="Y206" s="2"/>
      <c r="Z206" s="2"/>
      <c r="AA206" s="2"/>
      <c r="AB206" s="40"/>
    </row>
    <row r="207" spans="2:28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  <c r="U207" s="2"/>
      <c r="V207" s="2"/>
      <c r="W207" s="2"/>
      <c r="X207" s="2"/>
      <c r="Y207" s="2"/>
      <c r="Z207" s="2"/>
      <c r="AA207" s="2"/>
      <c r="AB207" s="41"/>
    </row>
    <row r="208" spans="2:28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  <c r="U208" s="2"/>
      <c r="V208" s="2"/>
      <c r="W208" s="2"/>
      <c r="X208" s="2"/>
      <c r="Y208" s="2"/>
      <c r="Z208" s="2"/>
      <c r="AA208" s="2"/>
      <c r="AB208" s="40"/>
    </row>
    <row r="209" spans="2:28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  <c r="U209" s="2"/>
      <c r="V209" s="2"/>
      <c r="W209" s="2"/>
      <c r="X209" s="2"/>
      <c r="Y209" s="2"/>
      <c r="Z209" s="2"/>
      <c r="AA209" s="2"/>
      <c r="AB209" s="41"/>
    </row>
    <row r="210" spans="2:28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  <c r="U210" s="2"/>
      <c r="V210" s="2"/>
      <c r="W210" s="2"/>
      <c r="X210" s="2"/>
      <c r="Y210" s="2"/>
      <c r="Z210" s="2"/>
      <c r="AA210" s="2"/>
      <c r="AB210" s="40"/>
    </row>
    <row r="211" spans="2:28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  <c r="U211" s="2"/>
      <c r="V211" s="2"/>
      <c r="W211" s="2"/>
      <c r="X211" s="2"/>
      <c r="Y211" s="2"/>
      <c r="Z211" s="2"/>
      <c r="AA211" s="2"/>
      <c r="AB211" s="40"/>
    </row>
    <row r="212" spans="2:28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  <c r="U212" s="2"/>
      <c r="V212" s="2"/>
      <c r="W212" s="2"/>
      <c r="X212" s="2"/>
      <c r="Y212" s="2"/>
      <c r="Z212" s="2"/>
      <c r="AA212" s="2"/>
      <c r="AB212" s="40"/>
    </row>
    <row r="213" spans="2:28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  <c r="U213" s="2"/>
      <c r="V213" s="2"/>
      <c r="W213" s="2"/>
      <c r="X213" s="2"/>
      <c r="Y213" s="2"/>
      <c r="Z213" s="2"/>
      <c r="AA213" s="2"/>
      <c r="AB213" s="40"/>
    </row>
    <row r="214" spans="2:28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  <c r="U214" s="2"/>
      <c r="V214" s="2"/>
      <c r="W214" s="2"/>
      <c r="X214" s="2"/>
      <c r="Y214" s="2"/>
      <c r="Z214" s="2"/>
      <c r="AA214" s="2"/>
      <c r="AB214" s="40"/>
    </row>
    <row r="215" spans="2:28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  <c r="U215" s="2"/>
      <c r="V215" s="2"/>
      <c r="W215" s="2"/>
      <c r="X215" s="2"/>
      <c r="Y215" s="2"/>
      <c r="Z215" s="2"/>
      <c r="AA215" s="2"/>
      <c r="AB215" s="40"/>
    </row>
    <row r="216" spans="2:28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  <c r="U216" s="2"/>
      <c r="V216" s="2"/>
      <c r="W216" s="2"/>
      <c r="X216" s="2"/>
      <c r="Y216" s="2"/>
      <c r="Z216" s="2"/>
      <c r="AA216" s="2"/>
      <c r="AB216" s="41"/>
    </row>
    <row r="217" spans="2:28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  <c r="U217" s="2"/>
      <c r="V217" s="2"/>
      <c r="W217" s="2"/>
      <c r="X217" s="2"/>
      <c r="Y217" s="2"/>
      <c r="Z217" s="2"/>
      <c r="AA217" s="2"/>
      <c r="AB217" s="41"/>
    </row>
    <row r="218" spans="2:28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  <c r="U218" s="2"/>
      <c r="V218" s="2"/>
      <c r="W218" s="2"/>
      <c r="X218" s="2"/>
      <c r="Y218" s="2"/>
      <c r="Z218" s="2"/>
      <c r="AA218" s="2"/>
      <c r="AB218" s="40"/>
    </row>
    <row r="219" spans="2:28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  <c r="U219" s="2"/>
      <c r="V219" s="2"/>
      <c r="W219" s="2"/>
      <c r="X219" s="2"/>
      <c r="Y219" s="2"/>
      <c r="Z219" s="2"/>
      <c r="AA219" s="2"/>
      <c r="AB219" s="41"/>
    </row>
    <row r="220" spans="2:28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  <c r="U220" s="2"/>
      <c r="V220" s="2"/>
      <c r="W220" s="2"/>
      <c r="X220" s="2"/>
      <c r="Y220" s="2"/>
      <c r="Z220" s="2"/>
      <c r="AA220" s="2"/>
      <c r="AB220" s="41"/>
    </row>
    <row r="221" spans="2:28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  <c r="U221" s="2"/>
      <c r="V221" s="2"/>
      <c r="W221" s="2"/>
      <c r="X221" s="2"/>
      <c r="Y221" s="2"/>
      <c r="Z221" s="2"/>
      <c r="AA221" s="2"/>
      <c r="AB221" s="40"/>
    </row>
    <row r="222" spans="2:28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  <c r="U222" s="2"/>
      <c r="V222" s="2"/>
      <c r="W222" s="2"/>
      <c r="X222" s="2"/>
      <c r="Y222" s="2"/>
      <c r="Z222" s="2"/>
      <c r="AA222" s="2"/>
      <c r="AB222" s="41"/>
    </row>
    <row r="223" spans="2:28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  <c r="U223" s="2"/>
      <c r="V223" s="2"/>
      <c r="W223" s="2"/>
      <c r="X223" s="2"/>
      <c r="Y223" s="2"/>
      <c r="Z223" s="2"/>
      <c r="AA223" s="2"/>
      <c r="AB223" s="41"/>
    </row>
    <row r="224" spans="2:28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  <c r="U224" s="2"/>
      <c r="V224" s="2"/>
      <c r="W224" s="2"/>
      <c r="X224" s="2"/>
      <c r="Y224" s="2"/>
      <c r="Z224" s="2"/>
      <c r="AA224" s="2"/>
      <c r="AB224" s="40"/>
    </row>
    <row r="225" spans="2:28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  <c r="U225" s="2"/>
      <c r="V225" s="2"/>
      <c r="W225" s="2"/>
      <c r="X225" s="2"/>
      <c r="Y225" s="2"/>
      <c r="Z225" s="2"/>
      <c r="AA225" s="2"/>
      <c r="AB225" s="41"/>
    </row>
    <row r="226" spans="2:28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  <c r="U226" s="2"/>
      <c r="V226" s="2"/>
      <c r="W226" s="2"/>
      <c r="X226" s="2"/>
      <c r="Y226" s="2"/>
      <c r="Z226" s="2"/>
      <c r="AA226" s="2"/>
      <c r="AB226" s="40"/>
    </row>
    <row r="227" spans="2:28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  <c r="U227" s="2"/>
      <c r="V227" s="2"/>
      <c r="W227" s="2"/>
      <c r="X227" s="2"/>
      <c r="Y227" s="2"/>
      <c r="Z227" s="2"/>
      <c r="AA227" s="2"/>
      <c r="AB227" s="40"/>
    </row>
    <row r="228" spans="2:28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  <c r="U228" s="2"/>
      <c r="V228" s="2"/>
      <c r="W228" s="2"/>
      <c r="X228" s="2"/>
      <c r="Y228" s="2"/>
      <c r="Z228" s="2"/>
      <c r="AA228" s="2"/>
      <c r="AB228" s="40"/>
    </row>
    <row r="229" spans="2:28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  <c r="U229" s="2"/>
      <c r="V229" s="2"/>
      <c r="W229" s="2"/>
      <c r="X229" s="2"/>
      <c r="Y229" s="2"/>
      <c r="Z229" s="2"/>
      <c r="AA229" s="2"/>
      <c r="AB229" s="40"/>
    </row>
    <row r="230" spans="2:28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  <c r="U230" s="2"/>
      <c r="V230" s="2"/>
      <c r="W230" s="2"/>
      <c r="X230" s="2"/>
      <c r="Y230" s="2"/>
      <c r="Z230" s="2"/>
      <c r="AA230" s="2"/>
      <c r="AB230" s="40"/>
    </row>
    <row r="231" spans="2:28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  <c r="U231" s="2"/>
      <c r="V231" s="2"/>
      <c r="W231" s="2"/>
      <c r="X231" s="2"/>
      <c r="Y231" s="2"/>
      <c r="Z231" s="2"/>
      <c r="AA231" s="2"/>
      <c r="AB231" s="40"/>
    </row>
    <row r="232" spans="2:28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  <c r="U232" s="2"/>
      <c r="V232" s="2"/>
      <c r="W232" s="2"/>
      <c r="X232" s="2"/>
      <c r="Y232" s="2"/>
      <c r="Z232" s="2"/>
      <c r="AA232" s="2"/>
      <c r="AB232" s="40"/>
    </row>
    <row r="233" spans="2:28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  <c r="U233" s="2"/>
      <c r="V233" s="2"/>
      <c r="W233" s="2"/>
      <c r="X233" s="2"/>
      <c r="Y233" s="2"/>
      <c r="Z233" s="2"/>
      <c r="AA233" s="2"/>
      <c r="AB233" s="41"/>
    </row>
    <row r="234" spans="2:28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  <c r="U234" s="2"/>
      <c r="V234" s="2"/>
      <c r="W234" s="2"/>
      <c r="X234" s="2"/>
      <c r="Y234" s="2"/>
      <c r="Z234" s="2"/>
      <c r="AA234" s="2"/>
      <c r="AB234" s="40"/>
    </row>
    <row r="235" spans="2:28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  <c r="U235" s="2"/>
      <c r="V235" s="2"/>
      <c r="W235" s="2"/>
      <c r="X235" s="2"/>
      <c r="Y235" s="2"/>
      <c r="Z235" s="2"/>
      <c r="AA235" s="2"/>
      <c r="AB235" s="41"/>
    </row>
    <row r="236" spans="2:28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  <c r="U236" s="2"/>
      <c r="V236" s="2"/>
      <c r="W236" s="2"/>
      <c r="X236" s="2"/>
      <c r="Y236" s="2"/>
      <c r="Z236" s="2"/>
      <c r="AA236" s="2"/>
      <c r="AB236" s="40"/>
    </row>
    <row r="237" spans="2:28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  <c r="U237" s="2"/>
      <c r="V237" s="2"/>
      <c r="W237" s="2"/>
      <c r="X237" s="2"/>
      <c r="Y237" s="2"/>
      <c r="Z237" s="2"/>
      <c r="AA237" s="2"/>
      <c r="AB237" s="40"/>
    </row>
    <row r="238" spans="2:28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  <c r="U238" s="2"/>
      <c r="V238" s="2"/>
      <c r="W238" s="2"/>
      <c r="X238" s="2"/>
      <c r="Y238" s="2"/>
      <c r="Z238" s="2"/>
      <c r="AA238" s="2"/>
      <c r="AB238" s="40"/>
    </row>
    <row r="239" spans="2:28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  <c r="U239" s="2"/>
      <c r="V239" s="2"/>
      <c r="W239" s="2"/>
      <c r="X239" s="2"/>
      <c r="Y239" s="2"/>
      <c r="Z239" s="2"/>
      <c r="AA239" s="2"/>
      <c r="AB239" s="41"/>
    </row>
    <row r="240" spans="2:28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  <c r="U240" s="2"/>
      <c r="V240" s="2"/>
      <c r="W240" s="2"/>
      <c r="X240" s="2"/>
      <c r="Y240" s="2"/>
      <c r="Z240" s="2"/>
      <c r="AA240" s="2"/>
      <c r="AB240" s="40"/>
    </row>
    <row r="241" spans="2:28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  <c r="U241" s="2"/>
      <c r="V241" s="2"/>
      <c r="W241" s="2"/>
      <c r="X241" s="2"/>
      <c r="Y241" s="2"/>
      <c r="Z241" s="2"/>
      <c r="AA241" s="2"/>
      <c r="AB241" s="40"/>
    </row>
    <row r="242" spans="2:28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  <c r="U242" s="2"/>
      <c r="V242" s="2"/>
      <c r="W242" s="2"/>
      <c r="X242" s="2"/>
      <c r="Y242" s="2"/>
      <c r="Z242" s="2"/>
      <c r="AA242" s="2"/>
      <c r="AB242" s="41"/>
    </row>
    <row r="243" spans="2:28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  <c r="U243" s="2"/>
      <c r="V243" s="2"/>
      <c r="W243" s="2"/>
      <c r="X243" s="2"/>
      <c r="Y243" s="2"/>
      <c r="Z243" s="2"/>
      <c r="AA243" s="2"/>
      <c r="AB243" s="40"/>
    </row>
    <row r="244" spans="2:28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  <c r="U244" s="2"/>
      <c r="V244" s="2"/>
      <c r="W244" s="2"/>
      <c r="X244" s="2"/>
      <c r="Y244" s="2"/>
      <c r="Z244" s="2"/>
      <c r="AA244" s="2"/>
      <c r="AB244" s="41"/>
    </row>
    <row r="245" spans="2:28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  <c r="U245" s="2"/>
      <c r="V245" s="2"/>
      <c r="W245" s="2"/>
      <c r="X245" s="2"/>
      <c r="Y245" s="2"/>
      <c r="Z245" s="2"/>
      <c r="AA245" s="2"/>
      <c r="AB245" s="40"/>
    </row>
    <row r="246" spans="2:28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  <c r="U246" s="2"/>
      <c r="V246" s="2"/>
      <c r="W246" s="2"/>
      <c r="X246" s="2"/>
      <c r="Y246" s="2"/>
      <c r="Z246" s="2"/>
      <c r="AA246" s="2"/>
      <c r="AB246" s="41"/>
    </row>
    <row r="247" spans="2:28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  <c r="U247" s="2"/>
      <c r="V247" s="2"/>
      <c r="W247" s="2"/>
      <c r="X247" s="2"/>
      <c r="Y247" s="2"/>
      <c r="Z247" s="2"/>
      <c r="AA247" s="2"/>
      <c r="AB247" s="40"/>
    </row>
    <row r="248" spans="2:28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  <c r="U248" s="2"/>
      <c r="V248" s="2"/>
      <c r="W248" s="2"/>
      <c r="X248" s="2"/>
      <c r="Y248" s="2"/>
      <c r="Z248" s="2"/>
      <c r="AA248" s="2"/>
      <c r="AB248" s="41"/>
    </row>
    <row r="249" spans="2:28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  <c r="U249" s="2"/>
      <c r="V249" s="2"/>
      <c r="W249" s="2"/>
      <c r="X249" s="2"/>
      <c r="Y249" s="2"/>
      <c r="Z249" s="2"/>
      <c r="AA249" s="2"/>
      <c r="AB249" s="41"/>
    </row>
    <row r="250" spans="2:28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  <c r="U250" s="2"/>
      <c r="V250" s="2"/>
      <c r="W250" s="2"/>
      <c r="X250" s="2"/>
      <c r="Y250" s="2"/>
      <c r="Z250" s="2"/>
      <c r="AA250" s="2"/>
      <c r="AB250" s="40"/>
    </row>
    <row r="251" spans="2:28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  <c r="U251" s="2"/>
      <c r="V251" s="2"/>
      <c r="W251" s="2"/>
      <c r="X251" s="2"/>
      <c r="Y251" s="2"/>
      <c r="Z251" s="2"/>
      <c r="AA251" s="2"/>
      <c r="AB251" s="40"/>
    </row>
    <row r="252" spans="2:28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  <c r="U252" s="2"/>
      <c r="V252" s="2"/>
      <c r="W252" s="2"/>
      <c r="X252" s="2"/>
      <c r="Y252" s="2"/>
      <c r="Z252" s="2"/>
      <c r="AA252" s="2"/>
      <c r="AB252" s="40"/>
    </row>
    <row r="253" spans="2:28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  <c r="U253" s="2"/>
      <c r="V253" s="2"/>
      <c r="W253" s="2"/>
      <c r="X253" s="2"/>
      <c r="Y253" s="2"/>
      <c r="Z253" s="2"/>
      <c r="AA253" s="2"/>
      <c r="AB253" s="40"/>
    </row>
    <row r="254" spans="2:28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  <c r="U254" s="2"/>
      <c r="V254" s="2"/>
      <c r="W254" s="2"/>
      <c r="X254" s="2"/>
      <c r="Y254" s="2"/>
      <c r="Z254" s="2"/>
      <c r="AA254" s="2"/>
      <c r="AB254" s="41"/>
    </row>
    <row r="255" spans="2:28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  <c r="U255" s="2"/>
      <c r="V255" s="2"/>
      <c r="W255" s="2"/>
      <c r="X255" s="2"/>
      <c r="Y255" s="2"/>
      <c r="Z255" s="2"/>
      <c r="AA255" s="2"/>
      <c r="AB255" s="40"/>
    </row>
    <row r="256" spans="2:28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  <c r="U256" s="2"/>
      <c r="V256" s="2"/>
      <c r="W256" s="2"/>
      <c r="X256" s="2"/>
      <c r="Y256" s="2"/>
      <c r="Z256" s="2"/>
      <c r="AA256" s="2"/>
      <c r="AB256" s="41"/>
    </row>
    <row r="257" spans="2:28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  <c r="U257" s="2"/>
      <c r="V257" s="2"/>
      <c r="W257" s="2"/>
      <c r="X257" s="2"/>
      <c r="Y257" s="2"/>
      <c r="Z257" s="2"/>
      <c r="AA257" s="2"/>
      <c r="AB257" s="40"/>
    </row>
    <row r="258" spans="2:28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  <c r="U258" s="2"/>
      <c r="V258" s="2"/>
      <c r="W258" s="2"/>
      <c r="X258" s="2"/>
      <c r="Y258" s="2"/>
      <c r="Z258" s="2"/>
      <c r="AA258" s="2"/>
      <c r="AB258" s="41"/>
    </row>
    <row r="259" spans="2:28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  <c r="U259" s="2"/>
      <c r="V259" s="2"/>
      <c r="W259" s="2"/>
      <c r="X259" s="2"/>
      <c r="Y259" s="2"/>
      <c r="Z259" s="2"/>
      <c r="AA259" s="2"/>
      <c r="AB259" s="40"/>
    </row>
    <row r="260" spans="2:28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  <c r="U260" s="2"/>
      <c r="V260" s="2"/>
      <c r="W260" s="2"/>
      <c r="X260" s="2"/>
      <c r="Y260" s="2"/>
      <c r="Z260" s="2"/>
      <c r="AA260" s="2"/>
      <c r="AB260" s="41"/>
    </row>
    <row r="261" spans="2:28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  <c r="U261" s="2"/>
      <c r="V261" s="2"/>
      <c r="W261" s="2"/>
      <c r="X261" s="2"/>
      <c r="Y261" s="2"/>
      <c r="Z261" s="2"/>
      <c r="AA261" s="2"/>
      <c r="AB261" s="40"/>
    </row>
    <row r="262" spans="2:28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  <c r="U262" s="2"/>
      <c r="V262" s="2"/>
      <c r="W262" s="2"/>
      <c r="X262" s="2"/>
      <c r="Y262" s="2"/>
      <c r="Z262" s="2"/>
      <c r="AA262" s="2"/>
      <c r="AB262" s="40"/>
    </row>
    <row r="263" spans="2:28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  <c r="U263" s="2"/>
      <c r="V263" s="2"/>
      <c r="W263" s="2"/>
      <c r="X263" s="2"/>
      <c r="Y263" s="2"/>
      <c r="Z263" s="2"/>
      <c r="AA263" s="2"/>
      <c r="AB263" s="40"/>
    </row>
    <row r="264" spans="2:28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  <c r="U264" s="2"/>
      <c r="V264" s="2"/>
      <c r="W264" s="2"/>
      <c r="X264" s="2"/>
      <c r="Y264" s="2"/>
      <c r="Z264" s="2"/>
      <c r="AA264" s="2"/>
      <c r="AB264" s="41"/>
    </row>
    <row r="265" spans="2:28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  <c r="U265" s="2"/>
      <c r="V265" s="2"/>
      <c r="W265" s="2"/>
      <c r="X265" s="2"/>
      <c r="Y265" s="2"/>
      <c r="Z265" s="2"/>
      <c r="AA265" s="2"/>
      <c r="AB265" s="41"/>
    </row>
    <row r="266" spans="2:28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  <c r="U266" s="2"/>
      <c r="V266" s="2"/>
      <c r="W266" s="2"/>
      <c r="X266" s="2"/>
      <c r="Y266" s="2"/>
      <c r="Z266" s="2"/>
      <c r="AA266" s="2"/>
      <c r="AB266" s="40"/>
    </row>
    <row r="267" spans="2:28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  <c r="U267" s="2"/>
      <c r="V267" s="2"/>
      <c r="W267" s="2"/>
      <c r="X267" s="2"/>
      <c r="Y267" s="2"/>
      <c r="Z267" s="2"/>
      <c r="AA267" s="2"/>
      <c r="AB267" s="40"/>
    </row>
    <row r="268" spans="2:28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  <c r="U268" s="2"/>
      <c r="V268" s="2"/>
      <c r="W268" s="2"/>
      <c r="X268" s="2"/>
      <c r="Y268" s="2"/>
      <c r="Z268" s="2"/>
      <c r="AA268" s="2"/>
      <c r="AB268" s="40"/>
    </row>
    <row r="269" spans="2:28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  <c r="U269" s="2"/>
      <c r="V269" s="2"/>
      <c r="W269" s="2"/>
      <c r="X269" s="2"/>
      <c r="Y269" s="2"/>
      <c r="Z269" s="2"/>
      <c r="AA269" s="2"/>
      <c r="AB269" s="40"/>
    </row>
    <row r="270" spans="2:28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  <c r="U270" s="2"/>
      <c r="V270" s="2"/>
      <c r="W270" s="2"/>
      <c r="X270" s="2"/>
      <c r="Y270" s="2"/>
      <c r="Z270" s="2"/>
      <c r="AA270" s="2"/>
      <c r="AB270" s="41"/>
    </row>
    <row r="271" spans="2:28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  <c r="U271" s="2"/>
      <c r="V271" s="2"/>
      <c r="W271" s="2"/>
      <c r="X271" s="2"/>
      <c r="Y271" s="2"/>
      <c r="Z271" s="2"/>
      <c r="AA271" s="2"/>
      <c r="AB271" s="40"/>
    </row>
    <row r="272" spans="2:28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  <c r="U272" s="2"/>
      <c r="V272" s="2"/>
      <c r="W272" s="2"/>
      <c r="X272" s="2"/>
      <c r="Y272" s="2"/>
      <c r="Z272" s="2"/>
      <c r="AA272" s="2"/>
      <c r="AB272" s="41"/>
    </row>
    <row r="273" spans="2:28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  <c r="U273" s="2"/>
      <c r="V273" s="2"/>
      <c r="W273" s="2"/>
      <c r="X273" s="2"/>
      <c r="Y273" s="2"/>
      <c r="Z273" s="2"/>
      <c r="AA273" s="2"/>
      <c r="AB273" s="41"/>
    </row>
    <row r="274" spans="2:28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  <c r="U274" s="2"/>
      <c r="V274" s="2"/>
      <c r="W274" s="2"/>
      <c r="X274" s="2"/>
      <c r="Y274" s="2"/>
      <c r="Z274" s="2"/>
      <c r="AA274" s="2"/>
      <c r="AB274" s="40"/>
    </row>
    <row r="275" spans="2:28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  <c r="U275" s="2"/>
      <c r="V275" s="2"/>
      <c r="W275" s="2"/>
      <c r="X275" s="2"/>
      <c r="Y275" s="2"/>
      <c r="Z275" s="2"/>
      <c r="AA275" s="2"/>
      <c r="AB275" s="41"/>
    </row>
    <row r="276" spans="2:28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  <c r="U276" s="2"/>
      <c r="V276" s="2"/>
      <c r="W276" s="2"/>
      <c r="X276" s="2"/>
      <c r="Y276" s="2"/>
      <c r="Z276" s="2"/>
      <c r="AA276" s="2"/>
      <c r="AB276" s="41"/>
    </row>
    <row r="277" spans="2:28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  <c r="U277" s="2"/>
      <c r="V277" s="2"/>
      <c r="W277" s="2"/>
      <c r="X277" s="2"/>
      <c r="Y277" s="2"/>
      <c r="Z277" s="2"/>
      <c r="AA277" s="2"/>
      <c r="AB277" s="40"/>
    </row>
    <row r="278" spans="2:28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  <c r="U278" s="2"/>
      <c r="V278" s="2"/>
      <c r="W278" s="2"/>
      <c r="X278" s="2"/>
      <c r="Y278" s="2"/>
      <c r="Z278" s="2"/>
      <c r="AA278" s="2"/>
      <c r="AB278" s="41"/>
    </row>
    <row r="279" spans="2:28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  <c r="U279" s="2"/>
      <c r="V279" s="2"/>
      <c r="W279" s="2"/>
      <c r="X279" s="2"/>
      <c r="Y279" s="2"/>
      <c r="Z279" s="2"/>
      <c r="AA279" s="2"/>
      <c r="AB279" s="41"/>
    </row>
    <row r="280" spans="2:28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  <c r="U280" s="2"/>
      <c r="V280" s="2"/>
      <c r="W280" s="2"/>
      <c r="X280" s="2"/>
      <c r="Y280" s="2"/>
      <c r="Z280" s="2"/>
      <c r="AA280" s="2"/>
      <c r="AB280" s="41"/>
    </row>
    <row r="281" spans="2:28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  <c r="U281" s="2"/>
      <c r="V281" s="2"/>
      <c r="W281" s="2"/>
      <c r="X281" s="2"/>
      <c r="Y281" s="2"/>
      <c r="Z281" s="2"/>
      <c r="AA281" s="2"/>
      <c r="AB281" s="41"/>
    </row>
    <row r="282" spans="2:28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  <c r="U282" s="2"/>
      <c r="V282" s="2"/>
      <c r="W282" s="2"/>
      <c r="X282" s="2"/>
      <c r="Y282" s="2"/>
      <c r="Z282" s="2"/>
      <c r="AA282" s="2"/>
      <c r="AB282" s="41"/>
    </row>
    <row r="283" spans="2:28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  <c r="U283" s="2"/>
      <c r="V283" s="2"/>
      <c r="W283" s="2"/>
      <c r="X283" s="2"/>
      <c r="Y283" s="2"/>
      <c r="Z283" s="2"/>
      <c r="AA283" s="2"/>
      <c r="AB283" s="40"/>
    </row>
    <row r="284" spans="2:28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  <c r="U284" s="2"/>
      <c r="V284" s="2"/>
      <c r="W284" s="2"/>
      <c r="X284" s="2"/>
      <c r="Y284" s="2"/>
      <c r="Z284" s="2"/>
      <c r="AA284" s="2"/>
      <c r="AB284" s="41"/>
    </row>
    <row r="285" spans="2:28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  <c r="U285" s="2"/>
      <c r="V285" s="2"/>
      <c r="W285" s="2"/>
      <c r="X285" s="2"/>
      <c r="Y285" s="2"/>
      <c r="Z285" s="2"/>
      <c r="AA285" s="2"/>
      <c r="AB285" s="41"/>
    </row>
    <row r="286" spans="2:28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  <c r="U286" s="2"/>
      <c r="V286" s="2"/>
      <c r="W286" s="2"/>
      <c r="X286" s="2"/>
      <c r="Y286" s="2"/>
      <c r="Z286" s="2"/>
      <c r="AA286" s="2"/>
      <c r="AB286" s="41"/>
    </row>
    <row r="287" spans="2:28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  <c r="U287" s="2"/>
      <c r="V287" s="2"/>
      <c r="W287" s="2"/>
      <c r="X287" s="2"/>
      <c r="Y287" s="2"/>
      <c r="Z287" s="2"/>
      <c r="AA287" s="2"/>
      <c r="AB287" s="40"/>
    </row>
    <row r="288" spans="2:28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  <c r="U288" s="2"/>
      <c r="V288" s="2"/>
      <c r="W288" s="2"/>
      <c r="X288" s="2"/>
      <c r="Y288" s="2"/>
      <c r="Z288" s="2"/>
      <c r="AA288" s="2"/>
      <c r="AB288" s="41"/>
    </row>
    <row r="289" spans="2:28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  <c r="U289" s="2"/>
      <c r="V289" s="2"/>
      <c r="W289" s="2"/>
      <c r="X289" s="2"/>
      <c r="Y289" s="2"/>
      <c r="Z289" s="2"/>
      <c r="AA289" s="2"/>
      <c r="AB289" s="40"/>
    </row>
    <row r="290" spans="2:28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  <c r="U290" s="2"/>
      <c r="V290" s="2"/>
      <c r="W290" s="2"/>
      <c r="X290" s="2"/>
      <c r="Y290" s="2"/>
      <c r="Z290" s="2"/>
      <c r="AA290" s="2"/>
      <c r="AB290" s="41"/>
    </row>
    <row r="291" spans="2:28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  <c r="U291" s="2"/>
      <c r="V291" s="2"/>
      <c r="W291" s="2"/>
      <c r="X291" s="2"/>
      <c r="Y291" s="2"/>
      <c r="Z291" s="2"/>
      <c r="AA291" s="2"/>
      <c r="AB291" s="40"/>
    </row>
    <row r="292" spans="2:28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  <c r="U292" s="2"/>
      <c r="V292" s="2"/>
      <c r="W292" s="2"/>
      <c r="X292" s="2"/>
      <c r="Y292" s="2"/>
      <c r="Z292" s="2"/>
      <c r="AA292" s="2"/>
      <c r="AB292" s="41"/>
    </row>
    <row r="293" spans="2:28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  <c r="U293" s="2"/>
      <c r="V293" s="2"/>
      <c r="W293" s="2"/>
      <c r="X293" s="2"/>
      <c r="Y293" s="2"/>
      <c r="Z293" s="2"/>
      <c r="AA293" s="2"/>
      <c r="AB293" s="40"/>
    </row>
    <row r="294" spans="2:28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  <c r="U294" s="2"/>
      <c r="V294" s="2"/>
      <c r="W294" s="2"/>
      <c r="X294" s="2"/>
      <c r="Y294" s="2"/>
      <c r="Z294" s="2"/>
      <c r="AA294" s="2"/>
      <c r="AB294" s="40"/>
    </row>
    <row r="295" spans="2:28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  <c r="U295" s="2"/>
      <c r="V295" s="2"/>
      <c r="W295" s="2"/>
      <c r="X295" s="2"/>
      <c r="Y295" s="2"/>
      <c r="Z295" s="2"/>
      <c r="AA295" s="2"/>
      <c r="AB295" s="41"/>
    </row>
    <row r="296" spans="2:28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  <c r="U296" s="2"/>
      <c r="V296" s="2"/>
      <c r="W296" s="2"/>
      <c r="X296" s="2"/>
      <c r="Y296" s="2"/>
      <c r="Z296" s="2"/>
      <c r="AA296" s="2"/>
      <c r="AB296" s="41"/>
    </row>
    <row r="297" spans="2:28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  <c r="U297" s="2"/>
      <c r="V297" s="2"/>
      <c r="W297" s="2"/>
      <c r="X297" s="2"/>
      <c r="Y297" s="2"/>
      <c r="Z297" s="2"/>
      <c r="AA297" s="2"/>
      <c r="AB297" s="40"/>
    </row>
    <row r="298" spans="2:28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  <c r="U298" s="2"/>
      <c r="V298" s="2"/>
      <c r="W298" s="2"/>
      <c r="X298" s="2"/>
      <c r="Y298" s="2"/>
      <c r="Z298" s="2"/>
      <c r="AA298" s="2"/>
      <c r="AB298" s="40"/>
    </row>
    <row r="299" spans="2:28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  <c r="U299" s="2"/>
      <c r="V299" s="2"/>
      <c r="W299" s="2"/>
      <c r="X299" s="2"/>
      <c r="Y299" s="2"/>
      <c r="Z299" s="2"/>
      <c r="AA299" s="2"/>
      <c r="AB299" s="40"/>
    </row>
    <row r="300" spans="2:28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  <c r="U300" s="2"/>
      <c r="V300" s="2"/>
      <c r="W300" s="2"/>
      <c r="X300" s="2"/>
      <c r="Y300" s="2"/>
      <c r="Z300" s="2"/>
      <c r="AA300" s="2"/>
      <c r="AB300" s="40"/>
    </row>
    <row r="301" spans="2:28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  <c r="U301" s="2"/>
      <c r="V301" s="2"/>
      <c r="W301" s="2"/>
      <c r="X301" s="2"/>
      <c r="Y301" s="2"/>
      <c r="Z301" s="2"/>
      <c r="AA301" s="2"/>
      <c r="AB301" s="40"/>
    </row>
    <row r="302" spans="2:28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  <c r="U302" s="2"/>
      <c r="V302" s="2"/>
      <c r="W302" s="2"/>
      <c r="X302" s="2"/>
      <c r="Y302" s="2"/>
      <c r="Z302" s="2"/>
      <c r="AA302" s="2"/>
      <c r="AB302" s="41"/>
    </row>
    <row r="303" spans="2:28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  <c r="U303" s="2"/>
      <c r="V303" s="2"/>
      <c r="W303" s="2"/>
      <c r="X303" s="2"/>
      <c r="Y303" s="2"/>
      <c r="Z303" s="2"/>
      <c r="AA303" s="2"/>
      <c r="AB303" s="40"/>
    </row>
    <row r="304" spans="2:28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  <c r="U304" s="2"/>
      <c r="V304" s="2"/>
      <c r="W304" s="2"/>
      <c r="X304" s="2"/>
      <c r="Y304" s="2"/>
      <c r="Z304" s="2"/>
      <c r="AA304" s="2"/>
      <c r="AB304" s="41"/>
    </row>
    <row r="305" spans="2:28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  <c r="U305" s="2"/>
      <c r="V305" s="2"/>
      <c r="W305" s="2"/>
      <c r="X305" s="2"/>
      <c r="Y305" s="2"/>
      <c r="Z305" s="2"/>
      <c r="AA305" s="2"/>
      <c r="AB305" s="40"/>
    </row>
    <row r="306" spans="2:28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  <c r="U306" s="2"/>
      <c r="V306" s="2"/>
      <c r="W306" s="2"/>
      <c r="X306" s="2"/>
      <c r="Y306" s="2"/>
      <c r="Z306" s="2"/>
      <c r="AA306" s="2"/>
      <c r="AB306" s="40"/>
    </row>
    <row r="307" spans="2:28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  <c r="U307" s="2"/>
      <c r="V307" s="2"/>
      <c r="W307" s="2"/>
      <c r="X307" s="2"/>
      <c r="Y307" s="2"/>
      <c r="Z307" s="2"/>
      <c r="AA307" s="2"/>
      <c r="AB307" s="40"/>
    </row>
    <row r="308" spans="2:28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  <c r="U308" s="2"/>
      <c r="V308" s="2"/>
      <c r="W308" s="2"/>
      <c r="X308" s="2"/>
      <c r="Y308" s="2"/>
      <c r="Z308" s="2"/>
      <c r="AA308" s="2"/>
      <c r="AB308" s="40"/>
    </row>
    <row r="309" spans="2:28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  <c r="U309" s="2"/>
      <c r="V309" s="2"/>
      <c r="W309" s="2"/>
      <c r="X309" s="2"/>
      <c r="Y309" s="2"/>
      <c r="Z309" s="2"/>
      <c r="AA309" s="2"/>
      <c r="AB309" s="41"/>
    </row>
    <row r="310" spans="2:28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  <c r="U310" s="2"/>
      <c r="V310" s="2"/>
      <c r="W310" s="2"/>
      <c r="X310" s="2"/>
      <c r="Y310" s="2"/>
      <c r="Z310" s="2"/>
      <c r="AA310" s="2"/>
      <c r="AB310" s="40"/>
    </row>
    <row r="311" spans="2:28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  <c r="U311" s="2"/>
      <c r="V311" s="2"/>
      <c r="W311" s="2"/>
      <c r="X311" s="2"/>
      <c r="Y311" s="2"/>
      <c r="Z311" s="2"/>
      <c r="AA311" s="2"/>
      <c r="AB311" s="40"/>
    </row>
    <row r="312" spans="2:28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  <c r="U312" s="2"/>
      <c r="V312" s="2"/>
      <c r="W312" s="2"/>
      <c r="X312" s="2"/>
      <c r="Y312" s="2"/>
      <c r="Z312" s="2"/>
      <c r="AA312" s="2"/>
      <c r="AB312" s="40"/>
    </row>
    <row r="313" spans="2:28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  <c r="U313" s="2"/>
      <c r="V313" s="2"/>
      <c r="W313" s="2"/>
      <c r="X313" s="2"/>
      <c r="Y313" s="2"/>
      <c r="Z313" s="2"/>
      <c r="AA313" s="2"/>
      <c r="AB313" s="41"/>
    </row>
    <row r="314" spans="2:28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  <c r="U314" s="2"/>
      <c r="V314" s="2"/>
      <c r="W314" s="2"/>
      <c r="X314" s="2"/>
      <c r="Y314" s="2"/>
      <c r="Z314" s="2"/>
      <c r="AA314" s="2"/>
      <c r="AB314" s="40"/>
    </row>
    <row r="315" spans="2:28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  <c r="U315" s="2"/>
      <c r="V315" s="2"/>
      <c r="W315" s="2"/>
      <c r="X315" s="2"/>
      <c r="Y315" s="2"/>
      <c r="Z315" s="2"/>
      <c r="AA315" s="2"/>
      <c r="AB315" s="41"/>
    </row>
    <row r="316" spans="2:28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  <c r="U316" s="2"/>
      <c r="V316" s="2"/>
      <c r="W316" s="2"/>
      <c r="X316" s="2"/>
      <c r="Y316" s="2"/>
      <c r="Z316" s="2"/>
      <c r="AA316" s="2"/>
      <c r="AB316" s="41"/>
    </row>
    <row r="317" spans="2:28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  <c r="U317" s="2"/>
      <c r="V317" s="2"/>
      <c r="W317" s="2"/>
      <c r="X317" s="2"/>
      <c r="Y317" s="2"/>
      <c r="Z317" s="2"/>
      <c r="AA317" s="2"/>
      <c r="AB317" s="41"/>
    </row>
    <row r="318" spans="2:28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  <c r="U318" s="2"/>
      <c r="V318" s="2"/>
      <c r="W318" s="2"/>
      <c r="X318" s="2"/>
      <c r="Y318" s="2"/>
      <c r="Z318" s="2"/>
      <c r="AA318" s="2"/>
      <c r="AB318" s="41"/>
    </row>
    <row r="319" spans="2:28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  <c r="U319" s="2"/>
      <c r="V319" s="2"/>
      <c r="W319" s="2"/>
      <c r="X319" s="2"/>
      <c r="Y319" s="2"/>
      <c r="Z319" s="2"/>
      <c r="AA319" s="2"/>
      <c r="AB319" s="40"/>
    </row>
    <row r="320" spans="2:28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  <c r="U320" s="2"/>
      <c r="V320" s="2"/>
      <c r="W320" s="2"/>
      <c r="X320" s="2"/>
      <c r="Y320" s="2"/>
      <c r="Z320" s="2"/>
      <c r="AA320" s="2"/>
      <c r="AB320" s="41"/>
    </row>
    <row r="321" spans="2:28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  <c r="U321" s="2"/>
      <c r="V321" s="2"/>
      <c r="W321" s="2"/>
      <c r="X321" s="2"/>
      <c r="Y321" s="2"/>
      <c r="Z321" s="2"/>
      <c r="AA321" s="2"/>
      <c r="AB321" s="40"/>
    </row>
    <row r="322" spans="2:28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  <c r="U322" s="2"/>
      <c r="V322" s="2"/>
      <c r="W322" s="2"/>
      <c r="X322" s="2"/>
      <c r="Y322" s="2"/>
      <c r="Z322" s="2"/>
      <c r="AA322" s="2"/>
      <c r="AB322" s="41"/>
    </row>
    <row r="323" spans="2:28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  <c r="U323" s="2"/>
      <c r="V323" s="2"/>
      <c r="W323" s="2"/>
      <c r="X323" s="2"/>
      <c r="Y323" s="2"/>
      <c r="Z323" s="2"/>
      <c r="AA323" s="2"/>
      <c r="AB323" s="40"/>
    </row>
    <row r="324" spans="2:28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  <c r="U324" s="2"/>
      <c r="V324" s="2"/>
      <c r="W324" s="2"/>
      <c r="X324" s="2"/>
      <c r="Y324" s="2"/>
      <c r="Z324" s="2"/>
      <c r="AA324" s="2"/>
      <c r="AB324" s="40"/>
    </row>
    <row r="325" spans="2:28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  <c r="U325" s="2"/>
      <c r="V325" s="2"/>
      <c r="W325" s="2"/>
      <c r="X325" s="2"/>
      <c r="Y325" s="2"/>
      <c r="Z325" s="2"/>
      <c r="AA325" s="2"/>
      <c r="AB325" s="40"/>
    </row>
    <row r="326" spans="2:28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  <c r="U326" s="2"/>
      <c r="V326" s="2"/>
      <c r="W326" s="2"/>
      <c r="X326" s="2"/>
      <c r="Y326" s="2"/>
      <c r="Z326" s="2"/>
      <c r="AA326" s="2"/>
      <c r="AB326" s="40"/>
    </row>
    <row r="327" spans="2:28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  <c r="U327" s="2"/>
      <c r="V327" s="2"/>
      <c r="W327" s="2"/>
      <c r="X327" s="2"/>
      <c r="Y327" s="2"/>
      <c r="Z327" s="2"/>
      <c r="AA327" s="2"/>
      <c r="AB327" s="41"/>
    </row>
    <row r="328" spans="2:28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  <c r="U328" s="2"/>
      <c r="V328" s="2"/>
      <c r="W328" s="2"/>
      <c r="X328" s="2"/>
      <c r="Y328" s="2"/>
      <c r="Z328" s="2"/>
      <c r="AA328" s="2"/>
      <c r="AB328" s="41"/>
    </row>
    <row r="329" spans="2:28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  <c r="U329" s="2"/>
      <c r="V329" s="2"/>
      <c r="W329" s="2"/>
      <c r="X329" s="2"/>
      <c r="Y329" s="2"/>
      <c r="Z329" s="2"/>
      <c r="AA329" s="2"/>
      <c r="AB329" s="40"/>
    </row>
    <row r="330" spans="2:28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  <c r="U330" s="2"/>
      <c r="V330" s="2"/>
      <c r="W330" s="2"/>
      <c r="X330" s="2"/>
      <c r="Y330" s="2"/>
      <c r="Z330" s="2"/>
      <c r="AA330" s="2"/>
      <c r="AB330" s="40"/>
    </row>
    <row r="331" spans="2:28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  <c r="U331" s="2"/>
      <c r="V331" s="2"/>
      <c r="W331" s="2"/>
      <c r="X331" s="2"/>
      <c r="Y331" s="2"/>
      <c r="Z331" s="2"/>
      <c r="AA331" s="2"/>
      <c r="AB331" s="40"/>
    </row>
    <row r="332" spans="2:28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  <c r="U332" s="2"/>
      <c r="V332" s="2"/>
      <c r="W332" s="2"/>
      <c r="X332" s="2"/>
      <c r="Y332" s="2"/>
      <c r="Z332" s="2"/>
      <c r="AA332" s="2"/>
      <c r="AB332" s="40"/>
    </row>
    <row r="333" spans="2:28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  <c r="U333" s="2"/>
      <c r="V333" s="2"/>
      <c r="W333" s="2"/>
      <c r="X333" s="2"/>
      <c r="Y333" s="2"/>
      <c r="Z333" s="2"/>
      <c r="AA333" s="2"/>
      <c r="AB333" s="40"/>
    </row>
    <row r="334" spans="2:28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  <c r="U334" s="2"/>
      <c r="V334" s="2"/>
      <c r="W334" s="2"/>
      <c r="X334" s="2"/>
      <c r="Y334" s="2"/>
      <c r="Z334" s="2"/>
      <c r="AA334" s="2"/>
      <c r="AB334" s="40"/>
    </row>
    <row r="335" spans="2:28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  <c r="U335" s="2"/>
      <c r="V335" s="2"/>
      <c r="W335" s="2"/>
      <c r="X335" s="2"/>
      <c r="Y335" s="2"/>
      <c r="Z335" s="2"/>
      <c r="AA335" s="2"/>
      <c r="AB335" s="40"/>
    </row>
    <row r="336" spans="2:28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  <c r="U336" s="2"/>
      <c r="V336" s="2"/>
      <c r="W336" s="2"/>
      <c r="X336" s="2"/>
      <c r="Y336" s="2"/>
      <c r="Z336" s="2"/>
      <c r="AA336" s="2"/>
      <c r="AB336" s="40"/>
    </row>
    <row r="337" spans="2:28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  <c r="U337" s="2"/>
      <c r="V337" s="2"/>
      <c r="W337" s="2"/>
      <c r="X337" s="2"/>
      <c r="Y337" s="2"/>
      <c r="Z337" s="2"/>
      <c r="AA337" s="2"/>
      <c r="AB337" s="40"/>
    </row>
    <row r="338" spans="2:28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  <c r="U338" s="2"/>
      <c r="V338" s="2"/>
      <c r="W338" s="2"/>
      <c r="X338" s="2"/>
      <c r="Y338" s="2"/>
      <c r="Z338" s="2"/>
      <c r="AA338" s="2"/>
      <c r="AB338" s="41"/>
    </row>
    <row r="339" spans="2:28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  <c r="U339" s="2"/>
      <c r="V339" s="2"/>
      <c r="W339" s="2"/>
      <c r="X339" s="2"/>
      <c r="Y339" s="2"/>
      <c r="Z339" s="2"/>
      <c r="AA339" s="2"/>
      <c r="AB339" s="40"/>
    </row>
    <row r="340" spans="2:28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  <c r="U340" s="2"/>
      <c r="V340" s="2"/>
      <c r="W340" s="2"/>
      <c r="X340" s="2"/>
      <c r="Y340" s="2"/>
      <c r="Z340" s="2"/>
      <c r="AA340" s="2"/>
      <c r="AB340" s="40"/>
    </row>
    <row r="341" spans="2:28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  <c r="U341" s="2"/>
      <c r="V341" s="2"/>
      <c r="W341" s="2"/>
      <c r="X341" s="2"/>
      <c r="Y341" s="2"/>
      <c r="Z341" s="2"/>
      <c r="AA341" s="2"/>
      <c r="AB341" s="40"/>
    </row>
    <row r="342" spans="2:28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  <c r="U342" s="2"/>
      <c r="V342" s="2"/>
      <c r="W342" s="2"/>
      <c r="X342" s="2"/>
      <c r="Y342" s="2"/>
      <c r="Z342" s="2"/>
      <c r="AA342" s="2"/>
      <c r="AB342" s="41"/>
    </row>
    <row r="343" spans="2:28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  <c r="U343" s="2"/>
      <c r="V343" s="2"/>
      <c r="W343" s="2"/>
      <c r="X343" s="2"/>
      <c r="Y343" s="2"/>
      <c r="Z343" s="2"/>
      <c r="AA343" s="2"/>
      <c r="AB343" s="41"/>
    </row>
    <row r="344" spans="2:28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  <c r="U344" s="2"/>
      <c r="V344" s="2"/>
      <c r="W344" s="2"/>
      <c r="X344" s="2"/>
      <c r="Y344" s="2"/>
      <c r="Z344" s="2"/>
      <c r="AA344" s="2"/>
      <c r="AB344" s="40"/>
    </row>
    <row r="345" spans="2:28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  <c r="U345" s="2"/>
      <c r="V345" s="2"/>
      <c r="W345" s="2"/>
      <c r="X345" s="2"/>
      <c r="Y345" s="2"/>
      <c r="Z345" s="2"/>
      <c r="AA345" s="2"/>
      <c r="AB345" s="40"/>
    </row>
    <row r="346" spans="2:28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  <c r="U346" s="2"/>
      <c r="V346" s="2"/>
      <c r="W346" s="2"/>
      <c r="X346" s="2"/>
      <c r="Y346" s="2"/>
      <c r="Z346" s="2"/>
      <c r="AA346" s="2"/>
      <c r="AB346" s="40"/>
    </row>
    <row r="347" spans="2:28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  <c r="U347" s="2"/>
      <c r="V347" s="2"/>
      <c r="W347" s="2"/>
      <c r="X347" s="2"/>
      <c r="Y347" s="2"/>
      <c r="Z347" s="2"/>
      <c r="AA347" s="2"/>
      <c r="AB347" s="40"/>
    </row>
    <row r="348" spans="2:28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  <c r="U348" s="2"/>
      <c r="V348" s="2"/>
      <c r="W348" s="2"/>
      <c r="X348" s="2"/>
      <c r="Y348" s="2"/>
      <c r="Z348" s="2"/>
      <c r="AA348" s="2"/>
      <c r="AB348" s="40"/>
    </row>
    <row r="349" spans="2:28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  <c r="U349" s="2"/>
      <c r="V349" s="2"/>
      <c r="W349" s="2"/>
      <c r="X349" s="2"/>
      <c r="Y349" s="2"/>
      <c r="Z349" s="2"/>
      <c r="AA349" s="2"/>
      <c r="AB349" s="41"/>
    </row>
    <row r="350" spans="2:28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  <c r="U350" s="2"/>
      <c r="V350" s="2"/>
      <c r="W350" s="2"/>
      <c r="X350" s="2"/>
      <c r="Y350" s="2"/>
      <c r="Z350" s="2"/>
      <c r="AA350" s="2"/>
      <c r="AB350" s="40"/>
    </row>
    <row r="351" spans="2:28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  <c r="U351" s="2"/>
      <c r="V351" s="2"/>
      <c r="W351" s="2"/>
      <c r="X351" s="2"/>
      <c r="Y351" s="2"/>
      <c r="Z351" s="2"/>
      <c r="AA351" s="2"/>
      <c r="AB351" s="40"/>
    </row>
    <row r="352" spans="2:28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  <c r="U352" s="2"/>
      <c r="V352" s="2"/>
      <c r="W352" s="2"/>
      <c r="X352" s="2"/>
      <c r="Y352" s="2"/>
      <c r="Z352" s="2"/>
      <c r="AA352" s="2"/>
      <c r="AB352" s="40"/>
    </row>
    <row r="353" spans="2:28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  <c r="U353" s="2"/>
      <c r="V353" s="2"/>
      <c r="W353" s="2"/>
      <c r="X353" s="2"/>
      <c r="Y353" s="2"/>
      <c r="Z353" s="2"/>
      <c r="AA353" s="2"/>
      <c r="AB353" s="40"/>
    </row>
    <row r="354" spans="2:28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  <c r="U354" s="2"/>
      <c r="V354" s="2"/>
      <c r="W354" s="2"/>
      <c r="X354" s="2"/>
      <c r="Y354" s="2"/>
      <c r="Z354" s="2"/>
      <c r="AA354" s="2"/>
      <c r="AB354" s="40"/>
    </row>
    <row r="355" spans="2:28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  <c r="U355" s="2"/>
      <c r="V355" s="2"/>
      <c r="W355" s="2"/>
      <c r="X355" s="2"/>
      <c r="Y355" s="2"/>
      <c r="Z355" s="2"/>
      <c r="AA355" s="2"/>
      <c r="AB355" s="41"/>
    </row>
    <row r="356" spans="2:28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  <c r="U356" s="2"/>
      <c r="V356" s="2"/>
      <c r="W356" s="2"/>
      <c r="X356" s="2"/>
      <c r="Y356" s="2"/>
      <c r="Z356" s="2"/>
      <c r="AA356" s="2"/>
      <c r="AB356" s="40"/>
    </row>
    <row r="357" spans="2:28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  <c r="U357" s="2"/>
      <c r="V357" s="2"/>
      <c r="W357" s="2"/>
      <c r="X357" s="2"/>
      <c r="Y357" s="2"/>
      <c r="Z357" s="2"/>
      <c r="AA357" s="2"/>
      <c r="AB357" s="40"/>
    </row>
    <row r="358" spans="2:28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  <c r="U358" s="2"/>
      <c r="V358" s="2"/>
      <c r="W358" s="2"/>
      <c r="X358" s="2"/>
      <c r="Y358" s="2"/>
      <c r="Z358" s="2"/>
      <c r="AA358" s="2"/>
      <c r="AB358" s="40"/>
    </row>
    <row r="359" spans="2:28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  <c r="U359" s="2"/>
      <c r="V359" s="2"/>
      <c r="W359" s="2"/>
      <c r="X359" s="2"/>
      <c r="Y359" s="2"/>
      <c r="Z359" s="2"/>
      <c r="AA359" s="2"/>
      <c r="AB359" s="40"/>
    </row>
    <row r="360" spans="2:28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  <c r="U360" s="2"/>
      <c r="V360" s="2"/>
      <c r="W360" s="2"/>
      <c r="X360" s="2"/>
      <c r="Y360" s="2"/>
      <c r="Z360" s="2"/>
      <c r="AA360" s="2"/>
      <c r="AB360" s="40"/>
    </row>
    <row r="361" spans="2:28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  <c r="U361" s="2"/>
      <c r="V361" s="2"/>
      <c r="W361" s="2"/>
      <c r="X361" s="2"/>
      <c r="Y361" s="2"/>
      <c r="Z361" s="2"/>
      <c r="AA361" s="2"/>
      <c r="AB361" s="41"/>
    </row>
    <row r="362" spans="2:28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  <c r="U362" s="2"/>
      <c r="V362" s="2"/>
      <c r="W362" s="2"/>
      <c r="X362" s="2"/>
      <c r="Y362" s="2"/>
      <c r="Z362" s="2"/>
      <c r="AA362" s="2"/>
      <c r="AB362" s="41"/>
    </row>
    <row r="363" spans="2:28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  <c r="U363" s="2"/>
      <c r="V363" s="2"/>
      <c r="W363" s="2"/>
      <c r="X363" s="2"/>
      <c r="Y363" s="2"/>
      <c r="Z363" s="2"/>
      <c r="AA363" s="2"/>
      <c r="AB363" s="40"/>
    </row>
    <row r="364" spans="2:28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  <c r="U364" s="2"/>
      <c r="V364" s="2"/>
      <c r="W364" s="2"/>
      <c r="X364" s="2"/>
      <c r="Y364" s="2"/>
      <c r="Z364" s="2"/>
      <c r="AA364" s="2"/>
      <c r="AB364" s="40"/>
    </row>
    <row r="365" spans="2:28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  <c r="U365" s="2"/>
      <c r="V365" s="2"/>
      <c r="W365" s="2"/>
      <c r="X365" s="2"/>
      <c r="Y365" s="2"/>
      <c r="Z365" s="2"/>
      <c r="AA365" s="2"/>
      <c r="AB365" s="40"/>
    </row>
    <row r="366" spans="2:28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  <c r="U366" s="2"/>
      <c r="V366" s="2"/>
      <c r="W366" s="2"/>
      <c r="X366" s="2"/>
      <c r="Y366" s="2"/>
      <c r="Z366" s="2"/>
      <c r="AA366" s="2"/>
      <c r="AB366" s="40"/>
    </row>
    <row r="367" spans="2:28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  <c r="U367" s="2"/>
      <c r="V367" s="2"/>
      <c r="W367" s="2"/>
      <c r="X367" s="2"/>
      <c r="Y367" s="2"/>
      <c r="Z367" s="2"/>
      <c r="AA367" s="2"/>
      <c r="AB367" s="41"/>
    </row>
    <row r="368" spans="2:28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  <c r="U368" s="2"/>
      <c r="V368" s="2"/>
      <c r="W368" s="2"/>
      <c r="X368" s="2"/>
      <c r="Y368" s="2"/>
      <c r="Z368" s="2"/>
      <c r="AA368" s="2"/>
      <c r="AB368" s="40"/>
    </row>
    <row r="369" spans="2:28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  <c r="U369" s="2"/>
      <c r="V369" s="2"/>
      <c r="W369" s="2"/>
      <c r="X369" s="2"/>
      <c r="Y369" s="2"/>
      <c r="Z369" s="2"/>
      <c r="AA369" s="2"/>
      <c r="AB369" s="40"/>
    </row>
    <row r="370" spans="2:28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  <c r="U370" s="2"/>
      <c r="V370" s="2"/>
      <c r="W370" s="2"/>
      <c r="X370" s="2"/>
      <c r="Y370" s="2"/>
      <c r="Z370" s="2"/>
      <c r="AA370" s="2"/>
      <c r="AB370" s="40"/>
    </row>
    <row r="371" spans="2:28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  <c r="U371" s="2"/>
      <c r="V371" s="2"/>
      <c r="W371" s="2"/>
      <c r="X371" s="2"/>
      <c r="Y371" s="2"/>
      <c r="Z371" s="2"/>
      <c r="AA371" s="2"/>
      <c r="AB371" s="41"/>
    </row>
    <row r="372" spans="2:28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  <c r="U372" s="2"/>
      <c r="V372" s="2"/>
      <c r="W372" s="2"/>
      <c r="X372" s="2"/>
      <c r="Y372" s="2"/>
      <c r="Z372" s="2"/>
      <c r="AA372" s="2"/>
      <c r="AB372" s="41"/>
    </row>
    <row r="373" spans="2:28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  <c r="U373" s="2"/>
      <c r="V373" s="2"/>
      <c r="W373" s="2"/>
      <c r="X373" s="2"/>
      <c r="Y373" s="2"/>
      <c r="Z373" s="2"/>
      <c r="AA373" s="2"/>
      <c r="AB373" s="40"/>
    </row>
    <row r="374" spans="2:28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  <c r="U374" s="2"/>
      <c r="V374" s="2"/>
      <c r="W374" s="2"/>
      <c r="X374" s="2"/>
      <c r="Y374" s="2"/>
      <c r="Z374" s="2"/>
      <c r="AA374" s="2"/>
      <c r="AB374" s="40"/>
    </row>
    <row r="375" spans="2:28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  <c r="U375" s="2"/>
      <c r="V375" s="2"/>
      <c r="W375" s="2"/>
      <c r="X375" s="2"/>
      <c r="Y375" s="2"/>
      <c r="Z375" s="2"/>
      <c r="AA375" s="2"/>
      <c r="AB375" s="40"/>
    </row>
    <row r="376" spans="2:28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  <c r="U376" s="2"/>
      <c r="V376" s="2"/>
      <c r="W376" s="2"/>
      <c r="X376" s="2"/>
      <c r="Y376" s="2"/>
      <c r="Z376" s="2"/>
      <c r="AA376" s="2"/>
      <c r="AB376" s="41"/>
    </row>
    <row r="377" spans="2:28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  <c r="U377" s="2"/>
      <c r="V377" s="2"/>
      <c r="W377" s="2"/>
      <c r="X377" s="2"/>
      <c r="Y377" s="2"/>
      <c r="Z377" s="2"/>
      <c r="AA377" s="2"/>
      <c r="AB377" s="40"/>
    </row>
    <row r="378" spans="2:28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  <c r="U378" s="2"/>
      <c r="V378" s="2"/>
      <c r="W378" s="2"/>
      <c r="X378" s="2"/>
      <c r="Y378" s="2"/>
      <c r="Z378" s="2"/>
      <c r="AA378" s="2"/>
      <c r="AB378" s="40"/>
    </row>
    <row r="379" spans="2:28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  <c r="U379" s="2"/>
      <c r="V379" s="2"/>
      <c r="W379" s="2"/>
      <c r="X379" s="2"/>
      <c r="Y379" s="2"/>
      <c r="Z379" s="2"/>
      <c r="AA379" s="2"/>
      <c r="AB379" s="41"/>
    </row>
    <row r="380" spans="2:28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  <c r="U380" s="2"/>
      <c r="V380" s="2"/>
      <c r="W380" s="2"/>
      <c r="X380" s="2"/>
      <c r="Y380" s="2"/>
      <c r="Z380" s="2"/>
      <c r="AA380" s="2"/>
      <c r="AB380" s="41"/>
    </row>
    <row r="381" spans="2:28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  <c r="U381" s="2"/>
      <c r="V381" s="2"/>
      <c r="W381" s="2"/>
      <c r="X381" s="2"/>
      <c r="Y381" s="2"/>
      <c r="Z381" s="2"/>
      <c r="AA381" s="2"/>
      <c r="AB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0</xdr:row>
                    <xdr:rowOff>177800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Teams</vt:lpstr>
      <vt:lpstr>Roster</vt:lpstr>
      <vt:lpstr>Week 1</vt:lpstr>
      <vt:lpstr>QA WK1</vt:lpstr>
      <vt:lpstr>ME0025 WK1</vt:lpstr>
      <vt:lpstr>Week 2</vt:lpstr>
      <vt:lpstr>QA WK2</vt:lpstr>
      <vt:lpstr>ME0025 WK2</vt:lpstr>
      <vt:lpstr>Week 3</vt:lpstr>
      <vt:lpstr>QA WK3</vt:lpstr>
      <vt:lpstr>ME0025 WK3</vt:lpstr>
      <vt:lpstr>Week 4</vt:lpstr>
      <vt:lpstr>QA WK4</vt:lpstr>
      <vt:lpstr>ME0025 WK4</vt:lpstr>
      <vt:lpstr>Week 5</vt:lpstr>
      <vt:lpstr>QA WK5</vt:lpstr>
      <vt:lpstr>ME0025 WK5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Reyes</dc:creator>
  <cp:lastModifiedBy>ReyesJoseLuis1119@gmail.com</cp:lastModifiedBy>
  <dcterms:created xsi:type="dcterms:W3CDTF">2022-09-26T21:23:33Z</dcterms:created>
  <dcterms:modified xsi:type="dcterms:W3CDTF">2026-05-16T16:09:21Z</dcterms:modified>
</cp:coreProperties>
</file>